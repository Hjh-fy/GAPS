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64b1ceeba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d08ddafe4204df9"/>
    <x:sheet xmlns:r="http://schemas.openxmlformats.org/officeDocument/2006/relationships" name="Main Classification" sheetId="2" r:id="R39417a6be8154a11"/>
    <x:sheet xmlns:r="http://schemas.openxmlformats.org/officeDocument/2006/relationships" name="Directional" sheetId="3" r:id="Rd0d7e5c1e74f4984"/>
    <x:sheet xmlns:r="http://schemas.openxmlformats.org/officeDocument/2006/relationships" name="Paired Comparison" sheetId="4" r:id="Rc2bc6594c3af4963"/>
    <x:sheet xmlns:r="http://schemas.openxmlformats.org/officeDocument/2006/relationships" name="Regression" sheetId="5" r:id="Rc0a30fc290da4bb1"/>
    <x:sheet xmlns:r="http://schemas.openxmlformats.org/officeDocument/2006/relationships" name="Operational QC" sheetId="6" r:id="R47ab3efd44de41b0"/>
    <x:sheet xmlns:r="http://schemas.openxmlformats.org/officeDocument/2006/relationships" name="System Messages" sheetId="7" r:id="Rd2e8610243e14766"/>
    <x:sheet xmlns:r="http://schemas.openxmlformats.org/officeDocument/2006/relationships" name="System Timing" sheetId="8" r:id="R575d0f89857c4c14"/>
    <x:sheet xmlns:r="http://schemas.openxmlformats.org/officeDocument/2006/relationships" name="System Resources" sheetId="9" r:id="Rd0c72c7b60bc4b75"/>
    <x:sheet xmlns:r="http://schemas.openxmlformats.org/officeDocument/2006/relationships" name="Observer Audit" sheetId="10" r:id="Rf6a965d10b6644d9"/>
    <x:sheet xmlns:r="http://schemas.openxmlformats.org/officeDocument/2006/relationships" name="Claim Boundaries" sheetId="11" r:id="R44ac2ec60edb4726"/>
    <x:sheet xmlns:r="http://schemas.openxmlformats.org/officeDocument/2006/relationships" name="Evidence Sources" sheetId="12" r:id="R52981f0f7a82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%"/>
    <x:numFmt numFmtId="201" formatCode="0.0000"/>
    <x:numFmt numFmtId="202" formatCode="0.00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i/>
      <x:sz val="10"/>
      <x:color rgb="FF1F2937"/>
      <x:name val="Aptos"/>
    </x:font>
    <x:font>
      <x:sz val="10"/>
      <x:color rgb="FF1F2937"/>
      <x:name val="Aptos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BF9000"/>
      </x:left>
      <x:top style="medium">
        <x:color rgb="FFBF9000"/>
      </x:top>
      <x:bottom style="medium">
        <x:color rgb="FFBF9000"/>
      </x:bottom>
    </x:border>
    <x:border>
      <x:top style="medium">
        <x:color rgb="FFBF9000"/>
      </x:top>
      <x:bottom style="medium">
        <x:color rgb="FFBF9000"/>
      </x:bottom>
    </x:border>
    <x:border>
      <x:right style="medium">
        <x:color rgb="FFBF9000"/>
      </x:right>
      <x:top style="medium">
        <x:color rgb="FFBF9000"/>
      </x:top>
      <x:bottom style="medium">
        <x:color rgb="FFBF9000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0"/>
    </x:xf>
    <x:xf numFmtId="200" fontId="0" fillId="0" borderId="2" xfId="0" applyNumberFormat="1" applyFont="1" applyFill="1" applyBorder="1" applyAlignment="1">
      <x:alignment vertical="top" wrapText="0"/>
    </x:xf>
    <x:xf numFmtId="201" fontId="0" fillId="0" borderId="2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0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top" wrapText="0"/>
    </x:xf>
    <x:xf numFmtId="200" fontId="6" fillId="0" borderId="2" xfId="0" applyNumberFormat="1" applyFont="1" applyFill="1" applyBorder="1" applyAlignment="1">
      <x:alignment vertical="top" wrapText="0"/>
    </x:xf>
    <x:xf numFmtId="201" fontId="6" fillId="0" borderId="2" xfId="0" applyNumberFormat="1" applyFont="1" applyFill="1" applyBorder="1" applyAlignment="1">
      <x:alignment vertical="top" wrapText="0"/>
    </x:xf>
    <x:xf numFmtId="0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4f9ecd5c94f95" /><Relationship Type="http://schemas.openxmlformats.org/officeDocument/2006/relationships/theme" Target="/xl/theme/theme1.xml" Id="R12cd707771394730" /><Relationship Type="http://schemas.openxmlformats.org/officeDocument/2006/relationships/sharedStrings" Target="/xl/sharedStrings.xml" Id="R68baf28031db4978" /><Relationship Type="http://schemas.openxmlformats.org/officeDocument/2006/relationships/worksheet" Target="/xl/worksheets/sheet1.xml" Id="R8d08ddafe4204df9" /><Relationship Type="http://schemas.openxmlformats.org/officeDocument/2006/relationships/worksheet" Target="/xl/worksheets/sheet2.xml" Id="R39417a6be8154a11" /><Relationship Type="http://schemas.openxmlformats.org/officeDocument/2006/relationships/worksheet" Target="/xl/worksheets/sheet3.xml" Id="Rd0d7e5c1e74f4984" /><Relationship Type="http://schemas.openxmlformats.org/officeDocument/2006/relationships/worksheet" Target="/xl/worksheets/sheet4.xml" Id="Rc2bc6594c3af4963" /><Relationship Type="http://schemas.openxmlformats.org/officeDocument/2006/relationships/worksheet" Target="/xl/worksheets/sheet5.xml" Id="Rc0a30fc290da4bb1" /><Relationship Type="http://schemas.openxmlformats.org/officeDocument/2006/relationships/worksheet" Target="/xl/worksheets/sheet6.xml" Id="R47ab3efd44de41b0" /><Relationship Type="http://schemas.openxmlformats.org/officeDocument/2006/relationships/worksheet" Target="/xl/worksheets/sheet7.xml" Id="Rd2e8610243e14766" /><Relationship Type="http://schemas.openxmlformats.org/officeDocument/2006/relationships/worksheet" Target="/xl/worksheets/sheet8.xml" Id="R575d0f89857c4c14" /><Relationship Type="http://schemas.openxmlformats.org/officeDocument/2006/relationships/worksheet" Target="/xl/worksheets/sheet9.xml" Id="Rd0c72c7b60bc4b75" /><Relationship Type="http://schemas.openxmlformats.org/officeDocument/2006/relationships/worksheet" Target="/xl/worksheets/sheet10.xml" Id="Rf6a965d10b6644d9" /><Relationship Type="http://schemas.openxmlformats.org/officeDocument/2006/relationships/worksheet" Target="/xl/worksheets/sheet11.xml" Id="R44ac2ec60edb4726" /><Relationship Type="http://schemas.openxmlformats.org/officeDocument/2006/relationships/worksheet" Target="/xl/worksheets/sheet12.xml" Id="R52981f0f7a82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0" hidden="0" customWidth="1"/>
    <x:col min="4" max="4" width="24" hidden="0" customWidth="1"/>
    <x:col min="5" max="5" width="44" hidden="0" customWidth="1"/>
  </x:cols>
  <x:sheetData>
    <x:row r="1" ht="26" customHeight="1">
      <x:c r="A1" s="20" t="str">
        <x:v>GAPS IoT-J preliminary paper metrics</x:v>
      </x:c>
      <x:c r="B1" s="20"/>
      <x:c r="C1" s="20"/>
      <x:c r="D1" s="20"/>
      <x:c r="E1" s="20"/>
      <x:c r="F1" s="3"/>
      <x:c r="G1" s="3"/>
      <x:c r="H1" s="3"/>
    </x:row>
    <x:row r="2" ht="34" customHeight="1">
      <x:c r="A2" s="21" t="str">
        <x:v>Current closure: classification -&gt; regression -&gt; QC -&gt; real-topology system pilot. Formal multi-seed confirmation remains blocked and unstarted.</x:v>
      </x:c>
      <x:c r="B2" s="21"/>
      <x:c r="C2" s="21"/>
      <x:c r="D2" s="21"/>
      <x:c r="E2" s="21"/>
      <x:c r="F2" s="7"/>
      <x:c r="G2" s="7"/>
      <x:c r="H2" s="7"/>
    </x:row>
    <x:row r="3">
      <x:c r="A3" s="22"/>
      <x:c r="B3" s="22"/>
      <x:c r="C3" s="22"/>
      <x:c r="D3" s="22"/>
      <x:c r="E3" s="22"/>
    </x:row>
    <x:row r="4" ht="34" customHeight="1">
      <x:c r="A4" s="47" t="str">
        <x:v>Evidence block</x:v>
      </x:c>
      <x:c r="B4" s="47" t="str">
        <x:v>State</x:v>
      </x:c>
      <x:c r="C4" s="47" t="str">
        <x:v>Paper role</x:v>
      </x:c>
      <x:c r="D4" s="47" t="str">
        <x:v>Boundary</x:v>
      </x:c>
      <x:c r="E4" s="22"/>
    </x:row>
    <x:row r="5" ht="34" customHeight="1">
      <x:c r="A5" s="27" t="str">
        <x:v>Main classification</x:v>
      </x:c>
      <x:c r="B5" s="48" t="str">
        <x:v>available</x:v>
      </x:c>
      <x:c r="C5" s="27" t="str">
        <x:v>Seed-42 screening/historical</x:v>
      </x:c>
      <x:c r="D5" s="27" t="str">
        <x:v>No confirmation mean/std</x:v>
      </x:c>
      <x:c r="E5" s="22"/>
    </x:row>
    <x:row r="6" ht="34" customHeight="1">
      <x:c r="A6" s="27" t="str">
        <x:v>Cross-direction B2/B5</x:v>
      </x:c>
      <x:c r="B6" s="48" t="str">
        <x:v>available</x:v>
      </x:c>
      <x:c r="C6" s="27" t="str">
        <x:v>Appendix/generalization</x:v>
      </x:c>
      <x:c r="D6" s="27" t="str">
        <x:v>Three directions, seed 42 only</x:v>
      </x:c>
      <x:c r="E6" s="22"/>
    </x:row>
    <x:row r="7" ht="34" customHeight="1">
      <x:c r="A7" s="27" t="str">
        <x:v>Formal regression/QC</x:v>
      </x:c>
      <x:c r="B7" s="48" t="str">
        <x:v>available</x:v>
      </x:c>
      <x:c r="C7" s="27" t="str">
        <x:v>Main paper metrics</x:v>
      </x:c>
      <x:c r="D7" s="27" t="str">
        <x:v>Oracle columns diagnostic only</x:v>
      </x:c>
      <x:c r="E7" s="22"/>
    </x:row>
    <x:row r="8" ht="34" customHeight="1">
      <x:c r="A8" s="27" t="str">
        <x:v>B2 system pilot</x:v>
      </x:c>
      <x:c r="B8" s="48" t="str">
        <x:v>available</x:v>
      </x:c>
      <x:c r="C8" s="27" t="str">
        <x:v>Preliminary system metrics</x:v>
      </x:c>
      <x:c r="D8" s="27" t="str">
        <x:v>Two rounds; no transport bytes</x:v>
      </x:c>
      <x:c r="E8" s="22"/>
    </x:row>
    <x:row r="9" ht="34" customHeight="1">
      <x:c r="A9" s="27" t="str">
        <x:v>B2 Observer Gate</x:v>
      </x:c>
      <x:c r="B9" s="48" t="str">
        <x:v>passed</x:v>
      </x:c>
      <x:c r="C9" s="27" t="str">
        <x:v>Exact equivalence evidence</x:v>
      </x:c>
      <x:c r="D9" s="27" t="str">
        <x:v>max_abs_delta = 0</x:v>
      </x:c>
      <x:c r="E9" s="22"/>
    </x:row>
    <x:row r="10" ht="34" customHeight="1">
      <x:c r="A10" s="27" t="str">
        <x:v>B5 Observer Gate</x:v>
      </x:c>
      <x:c r="B10" s="49" t="str">
        <x:v>failed</x:v>
      </x:c>
      <x:c r="C10" s="27" t="str">
        <x:v>Blocking evidence</x:v>
      </x:c>
      <x:c r="D10" s="27" t="str">
        <x:v>Round-2 parity failure preserved</x:v>
      </x:c>
      <x:c r="E10" s="22"/>
    </x:row>
    <x:row r="11" ht="34" customHeight="1">
      <x:c r="A11" s="27" t="str">
        <x:v>Formal 10x25</x:v>
      </x:c>
      <x:c r="B11" s="50" t="str">
        <x:v>not started</x:v>
      </x:c>
      <x:c r="C11" s="27" t="str">
        <x:v>Deferred</x:v>
      </x:c>
      <x:c r="D11" s="27" t="str">
        <x:v>Cannot be called confirmation yet</x:v>
      </x:c>
      <x:c r="E11" s="22"/>
    </x:row>
    <x:row r="12" ht="34" customHeight="1">
      <x:c r="A12" s="22"/>
      <x:c r="B12" s="22"/>
      <x:c r="C12" s="22"/>
      <x:c r="D12" s="22"/>
      <x:c r="E12" s="22"/>
    </x:row>
    <x:row r="13" ht="34" customHeight="1">
      <x:c r="A13" s="47" t="str">
        <x:v>Headline metric</x:v>
      </x:c>
      <x:c r="B13" s="47" t="str">
        <x:v>Value</x:v>
      </x:c>
      <x:c r="C13" s="47" t="str">
        <x:v>Unit</x:v>
      </x:c>
      <x:c r="D13" s="47" t="str">
        <x:v>Evidence status</x:v>
      </x:c>
      <x:c r="E13" s="47" t="str">
        <x:v>Interpretation</x:v>
      </x:c>
    </x:row>
    <x:row r="14" ht="34" customHeight="1">
      <x:c r="A14" s="27" t="str">
        <x:v>Main B2 accuracy</x:v>
      </x:c>
      <x:c r="B14" s="51" t="n">
        <x:f>'Main Classification'!F6</x:f>
        <x:v>0.9926470588235294</x:v>
      </x:c>
      <x:c r="C14" s="27" t="str">
        <x:v>fraction</x:v>
      </x:c>
      <x:c r="D14" s="27" t="str">
        <x:v>seed-42 screening</x:v>
      </x:c>
      <x:c r="E14" s="27" t="str">
        <x:v>99.26% on 1360 C5 test windows</x:v>
      </x:c>
    </x:row>
    <x:row r="15" ht="34" customHeight="1">
      <x:c r="A15" s="27" t="str">
        <x:v>Main B5 accuracy</x:v>
      </x:c>
      <x:c r="B15" s="51" t="n">
        <x:f>'Main Classification'!F9</x:f>
        <x:v>0.9889705882352942</x:v>
      </x:c>
      <x:c r="C15" s="27" t="str">
        <x:v>fraction</x:v>
      </x:c>
      <x:c r="D15" s="27" t="str">
        <x:v>seed-42 screening</x:v>
      </x:c>
      <x:c r="E15" s="27" t="str">
        <x:v>98.90% on 1360 C5 test windows</x:v>
      </x:c>
    </x:row>
    <x:row r="16" ht="34" customHeight="1">
      <x:c r="A16" s="27" t="str">
        <x:v>Main B2-B5 accuracy</x:v>
      </x:c>
      <x:c r="B16" s="52" t="n">
        <x:f>(B14-B15)*100</x:f>
        <x:v>0.3676470588235281</x:v>
      </x:c>
      <x:c r="C16" s="27" t="str">
        <x:v>percentage points</x:v>
      </x:c>
      <x:c r="D16" s="27" t="str">
        <x:v>descriptive only</x:v>
      </x:c>
      <x:c r="E16" s="27" t="str">
        <x:v>B2 is +0.37 pp in this historical seed</x:v>
      </x:c>
    </x:row>
    <x:row r="17" ht="34" customHeight="1">
      <x:c r="A17" s="27" t="str">
        <x:v>B2 R4 FULL actual RMSE</x:v>
      </x:c>
      <x:c r="B17" s="52" t="n">
        <x:f>Regression!E45</x:f>
        <x:v>14.6564</x:v>
      </x:c>
      <x:c r="C17" s="27" t="str">
        <x:v>ppm</x:v>
      </x:c>
      <x:c r="D17" s="27" t="str">
        <x:v>formal regression</x:v>
      </x:c>
      <x:c r="E17" s="27" t="str">
        <x:v>Actual predicted-class route</x:v>
      </x:c>
    </x:row>
    <x:row r="18" ht="34" customHeight="1">
      <x:c r="A18" s="27" t="str">
        <x:v>B2 HC90 accepted RMSE</x:v>
      </x:c>
      <x:c r="B18" s="52" t="n">
        <x:f>'Operational QC'!F13</x:f>
        <x:v>11.5866</x:v>
      </x:c>
      <x:c r="C18" s="27" t="str">
        <x:v>ppm</x:v>
      </x:c>
      <x:c r="D18" s="27" t="str">
        <x:v>formal QC</x:v>
      </x:c>
      <x:c r="E18" s="27" t="str">
        <x:v>Yield remains about 89.5%</x:v>
      </x:c>
    </x:row>
    <x:row r="19" ht="34" customHeight="1">
      <x:c r="A19" s="27" t="str">
        <x:v>B2 HC90 yield</x:v>
      </x:c>
      <x:c r="B19" s="51" t="n">
        <x:f>'Operational QC'!D13</x:f>
        <x:v>0.8949</x:v>
      </x:c>
      <x:c r="C19" s="27" t="str">
        <x:v>fraction</x:v>
      </x:c>
      <x:c r="D19" s="27" t="str">
        <x:v>formal QC</x:v>
      </x:c>
      <x:c r="E19" s="27" t="str">
        <x:v>Accepted subset / total</x:v>
      </x:c>
    </x:row>
    <x:row r="20" ht="34" customHeight="1">
      <x:c r="A20" s="27" t="str">
        <x:v>B5 HC90 accepted RMSE</x:v>
      </x:c>
      <x:c r="B20" s="53" t="n">
        <x:f>'Operational QC'!F10</x:f>
        <x:v>15.3599</x:v>
      </x:c>
      <x:c r="C20" s="27" t="str">
        <x:v>ppm</x:v>
      </x:c>
      <x:c r="D20" s="27" t="str">
        <x:v>formal QC</x:v>
      </x:c>
      <x:c r="E20" s="27" t="str">
        <x:v>Higher error than B2 at similar yield</x:v>
      </x:c>
    </x:row>
    <x:row r="21" ht="34" customHeight="1">
      <x:c r="A21" s="27" t="str">
        <x:v>B2 pilot application traffic</x:v>
      </x:c>
      <x:c r="B21" s="53" t="n">
        <x:f>SUM('System Timing'!D5:D6)/1048576</x:f>
        <x:v>1.3312034606933594</x:v>
      </x:c>
      <x:c r="C21" s="27" t="str">
        <x:v>MiB / 2 rounds</x:v>
      </x:c>
      <x:c r="D21" s="27" t="str">
        <x:v>real-topology pilot</x:v>
      </x:c>
      <x:c r="E21" s="27" t="str">
        <x:v>Serialized Flower application messages</x:v>
      </x:c>
    </x:row>
    <x:row r="22" ht="34" customHeight="1">
      <x:c r="A22" s="27" t="str">
        <x:v>B2 pilot mean round wall</x:v>
      </x:c>
      <x:c r="B22" s="53" t="n">
        <x:f>AVERAGE('System Timing'!H5:H6)</x:f>
        <x:v>193.07141253150002</x:v>
      </x:c>
      <x:c r="C22" s="27" t="str">
        <x:v>seconds</x:v>
      </x:c>
      <x:c r="D22" s="27" t="str">
        <x:v>2-round pilot</x:v>
      </x:c>
      <x:c r="E22" s="27" t="str">
        <x:v>Not a 25-round total</x:v>
      </x:c>
    </x:row>
    <x:row r="23" ht="34" customHeight="1">
      <x:c r="A23" s="27" t="str">
        <x:v>B2 pilot mean server DA</x:v>
      </x:c>
      <x:c r="B23" s="53" t="n">
        <x:f>AVERAGE('System Timing'!K5:K6)</x:f>
        <x:v>168.5312539425</x:v>
      </x:c>
      <x:c r="C23" s="27" t="str">
        <x:v>seconds</x:v>
      </x:c>
      <x:c r="D23" s="27" t="str">
        <x:v>2-round pilot</x:v>
      </x:c>
      <x:c r="E23" s="27" t="str">
        <x:v>Dominant component of round wall</x:v>
      </x:c>
    </x:row>
    <x:row r="24" ht="34" customHeight="1">
      <x:c r="A24" s="27" t="str">
        <x:v>B2 pilot mean Pi train</x:v>
      </x:c>
      <x:c r="B24" s="53" t="n">
        <x:f>AVERAGE('System Timing'!M5:M6)</x:f>
        <x:v>11.1060702965</x:v>
      </x:c>
      <x:c r="C24" s="27" t="str">
        <x:v>seconds</x:v>
      </x:c>
      <x:c r="D24" s="27" t="str">
        <x:v>2-round pilot</x:v>
      </x:c>
      <x:c r="E24" s="27" t="str">
        <x:v>C1 Raspberry Pi local train core</x:v>
      </x:c>
    </x:row>
    <x:row r="25" ht="34" customHeight="1">
      <x:c r="A25" s="27" t="str">
        <x:v>B2 pilot mean PC train</x:v>
      </x:c>
      <x:c r="B25" s="53" t="n">
        <x:f>AVERAGE('System Timing'!N5:N6)</x:f>
        <x:v>20.4350562</x:v>
      </x:c>
      <x:c r="C25" s="27" t="str">
        <x:v>seconds</x:v>
      </x:c>
      <x:c r="D25" s="27" t="str">
        <x:v>2-round pilot</x:v>
      </x:c>
      <x:c r="E25" s="27" t="str">
        <x:v>C2 PC local train core</x:v>
      </x:c>
    </x:row>
    <x:row r="26" ht="34" customHeight="1">
      <x:c r="A26" s="27" t="str">
        <x:v>Pi training peak RSS</x:v>
      </x:c>
      <x:c r="B26" s="53" t="n">
        <x:f>'System Resources'!E5</x:f>
        <x:v>511.90625</x:v>
      </x:c>
      <x:c r="C26" s="27" t="str">
        <x:v>MiB</x:v>
      </x:c>
      <x:c r="D26" s="27" t="str">
        <x:v>training-overlap pilot</x:v>
      </x:c>
      <x:c r="E26" s="27" t="str">
        <x:v>Tree RSS sampled near 1 Hz</x:v>
      </x:c>
    </x:row>
    <x:row r="27" ht="34" customHeight="1">
      <x:c r="A27" s="27" t="str">
        <x:v>PC training peak RSS</x:v>
      </x:c>
      <x:c r="B27" s="53" t="n">
        <x:f>'System Resources'!E7</x:f>
        <x:v>426.20703125</x:v>
      </x:c>
      <x:c r="C27" s="27" t="str">
        <x:v>MiB</x:v>
      </x:c>
      <x:c r="D27" s="27" t="str">
        <x:v>training-overlap pilot</x:v>
      </x:c>
      <x:c r="E27" s="27" t="str">
        <x:v>Tree RSS sampled near 1 Hz</x:v>
      </x:c>
    </x:row>
    <x:row r="28" ht="34" customHeight="1">
      <x:c r="A28" s="27" t="str">
        <x:v>Observer measured overhead</x:v>
      </x:c>
      <x:c r="B28" s="53" t="n">
        <x:f>SUM('Observer Audit'!E5:E7)</x:f>
        <x:v>24.85013</x:v>
      </x:c>
      <x:c r="C28" s="27" t="str">
        <x:v>ms / run</x:v>
      </x:c>
      <x:c r="D28" s="27" t="str">
        <x:v>observer audit</x:v>
      </x:c>
      <x:c r="E28" s="27" t="str">
        <x:v>Encoding/serialization/I/O measured separately</x:v>
      </x:c>
    </x:row>
    <x:row r="29" ht="34" customHeight="1">
      <x:c r="A29" s="22"/>
      <x:c r="B29" s="22"/>
      <x:c r="C29" s="22"/>
      <x:c r="D29" s="22"/>
      <x:c r="E29" s="22"/>
    </x:row>
    <x:row r="30" ht="34" customHeight="1">
      <x:c r="A30" s="54" t="str">
        <x:v>Decision: stop expanding Spec A. Preserve the B5 failure as a blocker, use this package for paper analysis, and run only the next smallest system experiment justified by the pilot bottleneck.</x:v>
      </x:c>
      <x:c r="B30" s="55"/>
      <x:c r="C30" s="55"/>
      <x:c r="D30" s="55"/>
      <x:c r="E30" s="56"/>
    </x:row>
  </x:sheetData>
  <x:mergeCells>
    <x:mergeCell ref="A1:H1"/>
    <x:mergeCell ref="A2:H2"/>
    <x:mergeCell ref="A30:E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6" customHeight="1">
      <x:c r="A1" s="20" t="str">
        <x:v>Main-direction classification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</x:row>
    <x:row r="2" ht="34" customHeight="1">
      <x:c r="A2" s="21" t="str">
        <x:v>C1/C2 -&gt; C5, seed 42, 25 rounds. Historical screening evidence only; excluded from future confirmation mean/std.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</x:row>
    <x:row r="4" ht="32" customHeight="1">
      <x:c r="A4" s="23" t="str">
        <x:v>protocol</x:v>
      </x:c>
      <x:c r="B4" s="23" t="str">
        <x:v>group_id</x:v>
      </x:c>
      <x:c r="C4" s="23" t="str">
        <x:v>seed</x:v>
      </x:c>
      <x:c r="D4" s="23" t="str">
        <x:v>rounds</x:v>
      </x:c>
      <x:c r="E4" s="23" t="str">
        <x:v>N</x:v>
      </x:c>
      <x:c r="F4" s="23" t="str">
        <x:v>accuracy</x:v>
      </x:c>
      <x:c r="G4" s="23" t="str">
        <x:v>macro_f1</x:v>
      </x:c>
      <x:c r="H4" s="23" t="str">
        <x:v>nll</x:v>
      </x:c>
      <x:c r="I4" s="23" t="str">
        <x:v>ece</x:v>
      </x:c>
      <x:c r="J4" s="23" t="str">
        <x:v>worst_recall</x:v>
      </x:c>
      <x:c r="K4" s="23" t="str">
        <x:v>recall_0</x:v>
      </x:c>
      <x:c r="L4" s="23" t="str">
        <x:v>recall_1</x:v>
      </x:c>
      <x:c r="M4" s="23" t="str">
        <x:v>recall_2</x:v>
      </x:c>
      <x:c r="N4" s="23" t="str">
        <x:v>recall_3</x:v>
      </x:c>
      <x:c r="O4" s="23" t="str">
        <x:v>evidence_role</x:v>
      </x:c>
      <x:c r="P4" s="23" t="str">
        <x:v>run_name</x:v>
      </x:c>
    </x:row>
    <x:row r="5" ht="20" customHeight="1">
      <x:c r="A5" s="24" t="str">
        <x:v>C1/C2 -&gt; C5</x:v>
      </x:c>
      <x:c r="B5" s="24" t="str">
        <x:v>B1</x:v>
      </x:c>
      <x:c r="C5" s="24" t="n">
        <x:v>42</x:v>
      </x:c>
      <x:c r="D5" s="24" t="n">
        <x:v>25</x:v>
      </x:c>
      <x:c r="E5" s="24" t="n">
        <x:v>1360</x:v>
      </x:c>
      <x:c r="F5" s="25" t="n">
        <x:v>0.9875</x:v>
      </x:c>
      <x:c r="G5" s="25" t="n">
        <x:v>0.9875337545706898</x:v>
      </x:c>
      <x:c r="H5" s="26" t="n">
        <x:v>0.09882595791204489</x:v>
      </x:c>
      <x:c r="I5" s="25" t="n">
        <x:v>0.012026913507896368</x:v>
      </x:c>
      <x:c r="J5" s="25" t="n">
        <x:v>0.9705882352941176</x:v>
      </x:c>
      <x:c r="K5" s="25" t="n">
        <x:v>0.9705882352941176</x:v>
      </x:c>
      <x:c r="L5" s="25" t="n">
        <x:v>1</x:v>
      </x:c>
      <x:c r="M5" s="25" t="n">
        <x:v>0.9823529411764705</x:v>
      </x:c>
      <x:c r="N5" s="25" t="n">
        <x:v>0.9970588235294118</x:v>
      </x:c>
      <x:c r="O5" s="24" t="str">
        <x:v>screening/historical; excluded from future confirmation mean/std</x:v>
      </x:c>
      <x:c r="P5" s="24" t="str">
        <x:v>B1_proto_replay_corrected_server_da_c12_to_c5_s42_r25</x:v>
      </x:c>
    </x:row>
    <x:row r="6" ht="20" customHeight="1">
      <x:c r="A6" s="24" t="str">
        <x:v>C1/C2 -&gt; C5</x:v>
      </x:c>
      <x:c r="B6" s="24" t="str">
        <x:v>B2</x:v>
      </x:c>
      <x:c r="C6" s="24" t="n">
        <x:v>42</x:v>
      </x:c>
      <x:c r="D6" s="24" t="n">
        <x:v>25</x:v>
      </x:c>
      <x:c r="E6" s="24" t="n">
        <x:v>1360</x:v>
      </x:c>
      <x:c r="F6" s="25" t="n">
        <x:v>0.9926470588235294</x:v>
      </x:c>
      <x:c r="G6" s="25" t="n">
        <x:v>0.9926573078897397</x:v>
      </x:c>
      <x:c r="H6" s="26" t="n">
        <x:v>0.06901757788138493</x:v>
      </x:c>
      <x:c r="I6" s="25" t="n">
        <x:v>0.006681427622542724</x:v>
      </x:c>
      <x:c r="J6" s="25" t="n">
        <x:v>0.9823529411764705</x:v>
      </x:c>
      <x:c r="K6" s="25" t="n">
        <x:v>0.9911764705882353</x:v>
      </x:c>
      <x:c r="L6" s="25" t="n">
        <x:v>1</x:v>
      </x:c>
      <x:c r="M6" s="25" t="n">
        <x:v>0.9823529411764705</x:v>
      </x:c>
      <x:c r="N6" s="25" t="n">
        <x:v>0.9970588235294118</x:v>
      </x:c>
      <x:c r="O6" s="24" t="str">
        <x:v>screening/historical; excluded from future confirmation mean/std</x:v>
      </x:c>
      <x:c r="P6" s="24" t="str">
        <x:v>B2_proto_replay_corrected_server_da_c12_to_c5_s42_r25</x:v>
      </x:c>
    </x:row>
    <x:row r="7" ht="20" customHeight="1">
      <x:c r="A7" s="24" t="str">
        <x:v>C1/C2 -&gt; C5</x:v>
      </x:c>
      <x:c r="B7" s="24" t="str">
        <x:v>B3</x:v>
      </x:c>
      <x:c r="C7" s="24" t="n">
        <x:v>42</x:v>
      </x:c>
      <x:c r="D7" s="24" t="n">
        <x:v>25</x:v>
      </x:c>
      <x:c r="E7" s="24" t="n">
        <x:v>1360</x:v>
      </x:c>
      <x:c r="F7" s="25" t="n">
        <x:v>0.9889705882352942</x:v>
      </x:c>
      <x:c r="G7" s="25" t="n">
        <x:v>0.988979885269746</x:v>
      </x:c>
      <x:c r="H7" s="26" t="n">
        <x:v>0.1021912511051246</x:v>
      </x:c>
      <x:c r="I7" s="25" t="n">
        <x:v>0.010755343735218005</x:v>
      </x:c>
      <x:c r="J7" s="25" t="n">
        <x:v>0.9823529411764705</x:v>
      </x:c>
      <x:c r="K7" s="25" t="n">
        <x:v>0.9882352941176471</x:v>
      </x:c>
      <x:c r="L7" s="25" t="n">
        <x:v>0.9970588235294118</x:v>
      </x:c>
      <x:c r="M7" s="25" t="n">
        <x:v>0.9823529411764705</x:v>
      </x:c>
      <x:c r="N7" s="25" t="n">
        <x:v>0.9882352941176471</x:v>
      </x:c>
      <x:c r="O7" s="24" t="str">
        <x:v>screening/historical; excluded from future confirmation mean/std</x:v>
      </x:c>
      <x:c r="P7" s="24" t="str">
        <x:v>B3_proto_replay_corrected_server_da_c12_to_c5_s42_r25</x:v>
      </x:c>
    </x:row>
    <x:row r="8" ht="20" customHeight="1">
      <x:c r="A8" s="24" t="str">
        <x:v>C1/C2 -&gt; C5</x:v>
      </x:c>
      <x:c r="B8" s="24" t="str">
        <x:v>B4</x:v>
      </x:c>
      <x:c r="C8" s="24" t="n">
        <x:v>42</x:v>
      </x:c>
      <x:c r="D8" s="24" t="n">
        <x:v>25</x:v>
      </x:c>
      <x:c r="E8" s="24" t="n">
        <x:v>1360</x:v>
      </x:c>
      <x:c r="F8" s="25" t="n">
        <x:v>0.9897058823529412</x:v>
      </x:c>
      <x:c r="G8" s="25" t="n">
        <x:v>0.9897144724635099</x:v>
      </x:c>
      <x:c r="H8" s="26" t="n">
        <x:v>0.08348272459984254</x:v>
      </x:c>
      <x:c r="I8" s="25" t="n">
        <x:v>0.0081342694075669</x:v>
      </x:c>
      <x:c r="J8" s="25" t="n">
        <x:v>0.9823529411764705</x:v>
      </x:c>
      <x:c r="K8" s="25" t="n">
        <x:v>0.9911764705882353</x:v>
      </x:c>
      <x:c r="L8" s="25" t="n">
        <x:v>0.9852941176470589</x:v>
      </x:c>
      <x:c r="M8" s="25" t="n">
        <x:v>0.9823529411764705</x:v>
      </x:c>
      <x:c r="N8" s="25" t="n">
        <x:v>1</x:v>
      </x:c>
      <x:c r="O8" s="24" t="str">
        <x:v>screening/historical; excluded from future confirmation mean/std</x:v>
      </x:c>
      <x:c r="P8" s="24" t="str">
        <x:v>B4_proto_replay_corrected_server_da_c12_to_c5_s42_r25</x:v>
      </x:c>
    </x:row>
    <x:row r="9" ht="20" customHeight="1">
      <x:c r="A9" s="24" t="str">
        <x:v>C1/C2 -&gt; C5</x:v>
      </x:c>
      <x:c r="B9" s="24" t="str">
        <x:v>B5</x:v>
      </x:c>
      <x:c r="C9" s="24" t="n">
        <x:v>42</x:v>
      </x:c>
      <x:c r="D9" s="24" t="n">
        <x:v>25</x:v>
      </x:c>
      <x:c r="E9" s="24" t="n">
        <x:v>1360</x:v>
      </x:c>
      <x:c r="F9" s="25" t="n">
        <x:v>0.9889705882352942</x:v>
      </x:c>
      <x:c r="G9" s="25" t="n">
        <x:v>0.9889895837919297</x:v>
      </x:c>
      <x:c r="H9" s="26" t="n">
        <x:v>0.07036536926717657</x:v>
      </x:c>
      <x:c r="I9" s="25" t="n">
        <x:v>0.00927266899277178</x:v>
      </x:c>
      <x:c r="J9" s="25" t="n">
        <x:v>0.9823529411764705</x:v>
      </x:c>
      <x:c r="K9" s="25" t="n">
        <x:v>0.9823529411764705</x:v>
      </x:c>
      <x:c r="L9" s="25" t="n">
        <x:v>0.9941176470588236</x:v>
      </x:c>
      <x:c r="M9" s="25" t="n">
        <x:v>0.9823529411764705</x:v>
      </x:c>
      <x:c r="N9" s="25" t="n">
        <x:v>0.9970588235294118</x:v>
      </x:c>
      <x:c r="O9" s="24" t="str">
        <x:v>screening/historical; excluded from future confirmation mean/std</x:v>
      </x:c>
      <x:c r="P9" s="24" t="str">
        <x:v>B5_proto_replay_corrected_full_da_c12_to_c5_s42_r25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6" customHeight="1">
      <x:c r="A1" s="20" t="str">
        <x:v>Cross-direction classification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4" customHeight="1">
      <x:c r="A2" s="21" t="str">
        <x:v>Three completed seed-42 B2/B5 direction pairs retained as appendix/generalization evidence.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 ht="32" customHeight="1">
      <x:c r="A4" s="23" t="str">
        <x:v>direction</x:v>
      </x:c>
      <x:c r="B4" s="23" t="str">
        <x:v>group_id</x:v>
      </x:c>
      <x:c r="C4" s="23" t="str">
        <x:v>seed</x:v>
      </x:c>
      <x:c r="D4" s="23" t="str">
        <x:v>rounds</x:v>
      </x:c>
      <x:c r="E4" s="23" t="str">
        <x:v>N</x:v>
      </x:c>
      <x:c r="F4" s="23" t="str">
        <x:v>accuracy</x:v>
      </x:c>
      <x:c r="G4" s="23" t="str">
        <x:v>macro_f1</x:v>
      </x:c>
      <x:c r="H4" s="23" t="str">
        <x:v>nll</x:v>
      </x:c>
      <x:c r="I4" s="23" t="str">
        <x:v>ece</x:v>
      </x:c>
      <x:c r="J4" s="23" t="str">
        <x:v>worst_recall</x:v>
      </x:c>
      <x:c r="K4" s="23" t="str">
        <x:v>evidence_role</x:v>
      </x:c>
      <x:c r="L4" s="23" t="str">
        <x:v>run_name</x:v>
      </x:c>
    </x:row>
    <x:row r="5" ht="20" customHeight="1">
      <x:c r="A5" s="24" t="str">
        <x:v>F1_C1_TO_C5</x:v>
      </x:c>
      <x:c r="B5" s="24" t="str">
        <x:v>B2</x:v>
      </x:c>
      <x:c r="C5" s="24" t="n">
        <x:v>42</x:v>
      </x:c>
      <x:c r="D5" s="24" t="n">
        <x:v>25</x:v>
      </x:c>
      <x:c r="E5" s="24" t="n">
        <x:v>1360</x:v>
      </x:c>
      <x:c r="F5" s="25" t="n">
        <x:v>0.9889705882352942</x:v>
      </x:c>
      <x:c r="G5" s="25" t="n">
        <x:v>0.9889539773984188</x:v>
      </x:c>
      <x:c r="H5" s="26" t="n">
        <x:v>0.10081357824069066</x:v>
      </x:c>
      <x:c r="I5" s="25" t="n">
        <x:v>0.010651978455922178</x:v>
      </x:c>
      <x:c r="J5" s="25" t="n">
        <x:v>0.9794117647058823</x:v>
      </x:c>
      <x:c r="K5" s="24" t="str">
        <x:v>appendix/generalization seed-42; not multi-seed confirmation</x:v>
      </x:c>
      <x:c r="L5" s="24" t="str">
        <x:v>B2_proto_replay_corrected_server_da_f1_c1_to_c5_s42_r25</x:v>
      </x:c>
    </x:row>
    <x:row r="6" ht="20" customHeight="1">
      <x:c r="A6" s="24" t="str">
        <x:v>F1_C1_TO_C5</x:v>
      </x:c>
      <x:c r="B6" s="24" t="str">
        <x:v>B5</x:v>
      </x:c>
      <x:c r="C6" s="24" t="n">
        <x:v>42</x:v>
      </x:c>
      <x:c r="D6" s="24" t="n">
        <x:v>25</x:v>
      </x:c>
      <x:c r="E6" s="24" t="n">
        <x:v>1360</x:v>
      </x:c>
      <x:c r="F6" s="25" t="n">
        <x:v>0.9830882352941176</x:v>
      </x:c>
      <x:c r="G6" s="25" t="n">
        <x:v>0.983130673740016</x:v>
      </x:c>
      <x:c r="H6" s="26" t="n">
        <x:v>0.13223446287536667</x:v>
      </x:c>
      <x:c r="I6" s="25" t="n">
        <x:v>0.014969853706219609</x:v>
      </x:c>
      <x:c r="J6" s="25" t="n">
        <x:v>0.9676470588235294</x:v>
      </x:c>
      <x:c r="K6" s="24" t="str">
        <x:v>appendix/generalization seed-42; not multi-seed confirmation</x:v>
      </x:c>
      <x:c r="L6" s="24" t="str">
        <x:v>B5_proto_replay_corrected_full_da_f1_c1_to_c5_s42_r25</x:v>
      </x:c>
    </x:row>
    <x:row r="7" ht="20" customHeight="1">
      <x:c r="A7" s="24" t="str">
        <x:v>R1_C5_TO_C1</x:v>
      </x:c>
      <x:c r="B7" s="24" t="str">
        <x:v>B2</x:v>
      </x:c>
      <x:c r="C7" s="24" t="n">
        <x:v>42</x:v>
      </x:c>
      <x:c r="D7" s="24" t="n">
        <x:v>25</x:v>
      </x:c>
      <x:c r="E7" s="24" t="n">
        <x:v>2680</x:v>
      </x:c>
      <x:c r="F7" s="25" t="n">
        <x:v>0.9764925373134329</x:v>
      </x:c>
      <x:c r="G7" s="25" t="n">
        <x:v>0.9765251242782818</x:v>
      </x:c>
      <x:c r="H7" s="26" t="n">
        <x:v>0.27685948761624446</x:v>
      </x:c>
      <x:c r="I7" s="25" t="n">
        <x:v>0.023724445355917032</x:v>
      </x:c>
      <x:c r="J7" s="25" t="n">
        <x:v>0.9597014925373134</x:v>
      </x:c>
      <x:c r="K7" s="24" t="str">
        <x:v>appendix/generalization seed-42; not multi-seed confirmation</x:v>
      </x:c>
      <x:c r="L7" s="24" t="str">
        <x:v>B2_proto_replay_corrected_server_da_r1_c5_to_c1_s42_r25</x:v>
      </x:c>
    </x:row>
    <x:row r="8" ht="20" customHeight="1">
      <x:c r="A8" s="24" t="str">
        <x:v>R1_C5_TO_C1</x:v>
      </x:c>
      <x:c r="B8" s="24" t="str">
        <x:v>B5</x:v>
      </x:c>
      <x:c r="C8" s="24" t="n">
        <x:v>42</x:v>
      </x:c>
      <x:c r="D8" s="24" t="n">
        <x:v>25</x:v>
      </x:c>
      <x:c r="E8" s="24" t="n">
        <x:v>2680</x:v>
      </x:c>
      <x:c r="F8" s="25" t="n">
        <x:v>0.9835820895522388</x:v>
      </x:c>
      <x:c r="G8" s="25" t="n">
        <x:v>0.9836046899894706</x:v>
      </x:c>
      <x:c r="H8" s="26" t="n">
        <x:v>0.17175490973439106</x:v>
      </x:c>
      <x:c r="I8" s="25" t="n">
        <x:v>0.01561448365005092</x:v>
      </x:c>
      <x:c r="J8" s="25" t="n">
        <x:v>0.9746268656716418</x:v>
      </x:c>
      <x:c r="K8" s="24" t="str">
        <x:v>appendix/generalization seed-42; not multi-seed confirmation</x:v>
      </x:c>
      <x:c r="L8" s="24" t="str">
        <x:v>B5_proto_replay_corrected_full_da_r1_c5_to_c1_s42_r25</x:v>
      </x:c>
    </x:row>
    <x:row r="9" ht="20" customHeight="1">
      <x:c r="A9" s="24" t="str">
        <x:v>R2_C45_TO_C1</x:v>
      </x:c>
      <x:c r="B9" s="24" t="str">
        <x:v>B2</x:v>
      </x:c>
      <x:c r="C9" s="24" t="n">
        <x:v>42</x:v>
      </x:c>
      <x:c r="D9" s="24" t="n">
        <x:v>25</x:v>
      </x:c>
      <x:c r="E9" s="24" t="n">
        <x:v>2680</x:v>
      </x:c>
      <x:c r="F9" s="25" t="n">
        <x:v>0.9895522388059701</x:v>
      </x:c>
      <x:c r="G9" s="25" t="n">
        <x:v>0.9895649401938136</x:v>
      </x:c>
      <x:c r="H9" s="26" t="n">
        <x:v>0.10585891088928671</x:v>
      </x:c>
      <x:c r="I9" s="25" t="n">
        <x:v>0.009554196093509415</x:v>
      </x:c>
      <x:c r="J9" s="25" t="n">
        <x:v>0.9835820895522388</x:v>
      </x:c>
      <x:c r="K9" s="24" t="str">
        <x:v>appendix/generalization seed-42; not multi-seed confirmation</x:v>
      </x:c>
      <x:c r="L9" s="24" t="str">
        <x:v>B2_proto_replay_corrected_server_da_r2_c45_to_c1_s42_r25</x:v>
      </x:c>
    </x:row>
    <x:row r="10" ht="20" customHeight="1">
      <x:c r="A10" s="24" t="str">
        <x:v>R2_C45_TO_C1</x:v>
      </x:c>
      <x:c r="B10" s="24" t="str">
        <x:v>B5</x:v>
      </x:c>
      <x:c r="C10" s="24" t="n">
        <x:v>42</x:v>
      </x:c>
      <x:c r="D10" s="24" t="n">
        <x:v>25</x:v>
      </x:c>
      <x:c r="E10" s="24" t="n">
        <x:v>2680</x:v>
      </x:c>
      <x:c r="F10" s="25" t="n">
        <x:v>0.9914179104477612</x:v>
      </x:c>
      <x:c r="G10" s="25" t="n">
        <x:v>0.9914360761215912</x:v>
      </x:c>
      <x:c r="H10" s="26" t="n">
        <x:v>0.08935576084548508</x:v>
      </x:c>
      <x:c r="I10" s="25" t="n">
        <x:v>0.008248767479142192</x:v>
      </x:c>
      <x:c r="J10" s="25" t="n">
        <x:v>0.991044776119403</x:v>
      </x:c>
      <x:c r="K10" s="24" t="str">
        <x:v>appendix/generalization seed-42; not multi-seed confirmation</x:v>
      </x:c>
      <x:c r="L10" s="24" t="str">
        <x:v>B5_proto_replay_corrected_full_da_r2_c45_to_c1_s42_r25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6" customHeight="1">
      <x:c r="A1" s="20" t="str">
        <x:v>B2/B5 paired direction comparisons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</x:row>
    <x:row r="2" ht="34" customHeight="1">
      <x:c r="A2" s="21" t="str">
        <x:v>Positive delta favors B2. Confidence intervals and McNemar tests are per direction and seed 42 only.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</x:row>
    <x:row r="4" ht="32" customHeight="1">
      <x:c r="A4" s="23" t="str">
        <x:v>direction</x:v>
      </x:c>
      <x:c r="B4" s="23" t="str">
        <x:v>seed</x:v>
      </x:c>
      <x:c r="C4" s="23" t="str">
        <x:v>N</x:v>
      </x:c>
      <x:c r="D4" s="23" t="str">
        <x:v>b2_accuracy</x:v>
      </x:c>
      <x:c r="E4" s="23" t="str">
        <x:v>b5_accuracy</x:v>
      </x:c>
      <x:c r="F4" s="23" t="str">
        <x:v>b2_minus_b5_accuracy_pp</x:v>
      </x:c>
      <x:c r="G4" s="23" t="str">
        <x:v>ci_low_pp</x:v>
      </x:c>
      <x:c r="H4" s="23" t="str">
        <x:v>ci_high_pp</x:v>
      </x:c>
      <x:c r="I4" s="23" t="str">
        <x:v>mcnemar_exact_p</x:v>
      </x:c>
      <x:c r="J4" s="23" t="str">
        <x:v>b2_macro_f1</x:v>
      </x:c>
      <x:c r="K4" s="23" t="str">
        <x:v>b5_macro_f1</x:v>
      </x:c>
      <x:c r="L4" s="23" t="str">
        <x:v>b2_minus_b5_macro_f1_pp</x:v>
      </x:c>
      <x:c r="M4" s="23" t="str">
        <x:v>b2_nll</x:v>
      </x:c>
      <x:c r="N4" s="23" t="str">
        <x:v>b5_nll</x:v>
      </x:c>
      <x:c r="O4" s="23" t="str">
        <x:v>b2_ece</x:v>
      </x:c>
      <x:c r="P4" s="23" t="str">
        <x:v>b5_ece</x:v>
      </x:c>
      <x:c r="Q4" s="23" t="str">
        <x:v>decision</x:v>
      </x:c>
    </x:row>
    <x:row r="5" ht="20" customHeight="1">
      <x:c r="A5" s="24" t="str">
        <x:v>F1_C1_TO_C5</x:v>
      </x:c>
      <x:c r="B5" s="24" t="n">
        <x:v>42</x:v>
      </x:c>
      <x:c r="C5" s="24" t="n">
        <x:v>1360</x:v>
      </x:c>
      <x:c r="D5" s="25" t="n">
        <x:v>0.9889705882352942</x:v>
      </x:c>
      <x:c r="E5" s="25" t="n">
        <x:v>0.9830882352941176</x:v>
      </x:c>
      <x:c r="F5" s="26" t="n">
        <x:v>0.5882352941176561</x:v>
      </x:c>
      <x:c r="G5" s="26" t="n">
        <x:v>0</x:v>
      </x:c>
      <x:c r="H5" s="26" t="n">
        <x:v>1.2500000000000067</x:v>
      </x:c>
      <x:c r="I5" s="26" t="n">
        <x:v>0.09625244140625</x:v>
      </x:c>
      <x:c r="J5" s="25" t="n">
        <x:v>0.9889539773984188</x:v>
      </x:c>
      <x:c r="K5" s="25" t="n">
        <x:v>0.983130673740016</x:v>
      </x:c>
      <x:c r="L5" s="26" t="n">
        <x:v>0.582330365840289</x:v>
      </x:c>
      <x:c r="M5" s="26" t="n">
        <x:v>0.10081357824069066</x:v>
      </x:c>
      <x:c r="N5" s="25" t="n">
        <x:v>0.13223446287536667</x:v>
      </x:c>
      <x:c r="O5" s="25" t="n">
        <x:v>0.010651978455922178</x:v>
      </x:c>
      <x:c r="P5" s="26" t="n">
        <x:v>0.014969853706219609</x:v>
      </x:c>
      <x:c r="Q5" s="26" t="str">
        <x:v>B2_noninferior</x:v>
      </x:c>
    </x:row>
    <x:row r="6" ht="20" customHeight="1">
      <x:c r="A6" s="24" t="str">
        <x:v>R1_C5_TO_C1</x:v>
      </x:c>
      <x:c r="B6" s="24" t="n">
        <x:v>42</x:v>
      </x:c>
      <x:c r="C6" s="24" t="n">
        <x:v>2680</x:v>
      </x:c>
      <x:c r="D6" s="25" t="n">
        <x:v>0.9764925373134329</x:v>
      </x:c>
      <x:c r="E6" s="25" t="n">
        <x:v>0.9835820895522388</x:v>
      </x:c>
      <x:c r="F6" s="26" t="n">
        <x:v>-0.7089552238805918</x:v>
      </x:c>
      <x:c r="G6" s="26" t="n">
        <x:v>-1.1940298507462699</x:v>
      </x:c>
      <x:c r="H6" s="26" t="n">
        <x:v>-0.261194029850742</x:v>
      </x:c>
      <x:c r="I6" s="26" t="n">
        <x:v>0.00432400493446039</x:v>
      </x:c>
      <x:c r="J6" s="25" t="n">
        <x:v>0.9765251242782818</x:v>
      </x:c>
      <x:c r="K6" s="25" t="n">
        <x:v>0.9836046899894706</x:v>
      </x:c>
      <x:c r="L6" s="26" t="n">
        <x:v>-0.707956571118884</x:v>
      </x:c>
      <x:c r="M6" s="26" t="n">
        <x:v>0.27685948761624446</x:v>
      </x:c>
      <x:c r="N6" s="25" t="n">
        <x:v>0.17175490973439106</x:v>
      </x:c>
      <x:c r="O6" s="25" t="n">
        <x:v>0.023724445355917032</x:v>
      </x:c>
      <x:c r="P6" s="26" t="n">
        <x:v>0.01561448365005092</x:v>
      </x:c>
      <x:c r="Q6" s="26" t="str">
        <x:v>B5_favored</x:v>
      </x:c>
    </x:row>
    <x:row r="7" ht="20" customHeight="1">
      <x:c r="A7" s="24" t="str">
        <x:v>R2_C45_TO_C1</x:v>
      </x:c>
      <x:c r="B7" s="24" t="n">
        <x:v>42</x:v>
      </x:c>
      <x:c r="C7" s="24" t="n">
        <x:v>2680</x:v>
      </x:c>
      <x:c r="D7" s="25" t="n">
        <x:v>0.9895522388059701</x:v>
      </x:c>
      <x:c r="E7" s="25" t="n">
        <x:v>0.9914179104477612</x:v>
      </x:c>
      <x:c r="F7" s="26" t="n">
        <x:v>-0.1865671641791078</x:v>
      </x:c>
      <x:c r="G7" s="26" t="n">
        <x:v>-0.48507462686567804</x:v>
      </x:c>
      <x:c r="H7" s="26" t="n">
        <x:v>0.11194029850746245</x:v>
      </x:c>
      <x:c r="I7" s="26" t="n">
        <x:v>0.332305908203125</x:v>
      </x:c>
      <x:c r="J7" s="25" t="n">
        <x:v>0.9895649401938136</x:v>
      </x:c>
      <x:c r="K7" s="25" t="n">
        <x:v>0.9914360761215912</x:v>
      </x:c>
      <x:c r="L7" s="26" t="n">
        <x:v>-0.18711359277776562</x:v>
      </x:c>
      <x:c r="M7" s="26" t="n">
        <x:v>0.10585891088928671</x:v>
      </x:c>
      <x:c r="N7" s="25" t="n">
        <x:v>0.08935576084548508</x:v>
      </x:c>
      <x:c r="O7" s="25" t="n">
        <x:v>0.009554196093509415</x:v>
      </x:c>
      <x:c r="P7" s="26" t="n">
        <x:v>0.008248767479142192</x:v>
      </x:c>
      <x:c r="Q7" s="26" t="str">
        <x:v>B5_favored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0" t="str">
        <x:v>Formal C5 coverage-1 regression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Source revision 7106e5c; all 1360 C5 test windows for S_ALL. R7 is an offline oracle.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 ht="32" customHeight="1">
      <x:c r="A4" s="23" t="str">
        <x:v>Classifier</x:v>
      </x:c>
      <x:c r="B4" s="23" t="str">
        <x:v>Mode</x:v>
      </x:c>
      <x:c r="C4" s="23" t="str">
        <x:v>Scope</x:v>
      </x:c>
      <x:c r="D4" s="23" t="str">
        <x:v>N</x:v>
      </x:c>
      <x:c r="E4" s="23" t="str">
        <x:v>RMSE</x:v>
      </x:c>
      <x:c r="F4" s="23" t="str">
        <x:v>NRMSE</x:v>
      </x:c>
      <x:c r="G4" s="23" t="str">
        <x:v>MAE</x:v>
      </x:c>
      <x:c r="H4" s="23" t="str">
        <x:v>P90AE</x:v>
      </x:c>
    </x:row>
    <x:row r="5" ht="20" customHeight="1">
      <x:c r="A5" s="24" t="str">
        <x:v>A6</x:v>
      </x:c>
      <x:c r="B5" s="24" t="str">
        <x:v>R0</x:v>
      </x:c>
      <x:c r="C5" s="24" t="str">
        <x:v>S_ALL</x:v>
      </x:c>
      <x:c r="D5" s="24" t="n">
        <x:v>1360</x:v>
      </x:c>
      <x:c r="E5" s="26" t="n">
        <x:v>64.9989</x:v>
      </x:c>
      <x:c r="F5" s="26" t="n">
        <x:v>0.3372</x:v>
      </x:c>
      <x:c r="G5" s="26" t="n">
        <x:v>40.2116</x:v>
      </x:c>
      <x:c r="H5" s="26" t="n">
        <x:v>122.0119</x:v>
      </x:c>
    </x:row>
    <x:row r="6" ht="20" customHeight="1">
      <x:c r="A6" s="24" t="str">
        <x:v>A6</x:v>
      </x:c>
      <x:c r="B6" s="24" t="str">
        <x:v>R0</x:v>
      </x:c>
      <x:c r="C6" s="24" t="str">
        <x:v>S_CC</x:v>
      </x:c>
      <x:c r="D6" s="24" t="n">
        <x:v>1333</x:v>
      </x:c>
      <x:c r="E6" s="26" t="n">
        <x:v>64.0317</x:v>
      </x:c>
      <x:c r="F6" s="26" t="n">
        <x:v>0.3212</x:v>
      </x:c>
      <x:c r="G6" s="26" t="n">
        <x:v>39.4306</x:v>
      </x:c>
      <x:c r="H6" s="26" t="n">
        <x:v>119.7763</x:v>
      </x:c>
    </x:row>
    <x:row r="7" ht="20" customHeight="1">
      <x:c r="A7" s="24" t="str">
        <x:v>A6</x:v>
      </x:c>
      <x:c r="B7" s="24" t="str">
        <x:v>R1</x:v>
      </x:c>
      <x:c r="C7" s="24" t="str">
        <x:v>S_ALL</x:v>
      </x:c>
      <x:c r="D7" s="24" t="n">
        <x:v>1360</x:v>
      </x:c>
      <x:c r="E7" s="26" t="n">
        <x:v>28.9619</x:v>
      </x:c>
      <x:c r="F7" s="26" t="n">
        <x:v>0.2277</x:v>
      </x:c>
      <x:c r="G7" s="26" t="n">
        <x:v>11.6421</x:v>
      </x:c>
      <x:c r="H7" s="26" t="n">
        <x:v>26.121</x:v>
      </x:c>
    </x:row>
    <x:row r="8" ht="20" customHeight="1">
      <x:c r="A8" s="24" t="str">
        <x:v>A6</x:v>
      </x:c>
      <x:c r="B8" s="24" t="str">
        <x:v>R1</x:v>
      </x:c>
      <x:c r="C8" s="24" t="str">
        <x:v>S_CC</x:v>
      </x:c>
      <x:c r="D8" s="24" t="n">
        <x:v>1333</x:v>
      </x:c>
      <x:c r="E8" s="26" t="n">
        <x:v>14.3283</x:v>
      </x:c>
      <x:c r="F8" s="26" t="n">
        <x:v>0.0775</x:v>
      </x:c>
      <x:c r="G8" s="26" t="n">
        <x:v>8.4927</x:v>
      </x:c>
      <x:c r="H8" s="26" t="n">
        <x:v>24.5168</x:v>
      </x:c>
    </x:row>
    <x:row r="9" ht="20" customHeight="1">
      <x:c r="A9" s="24" t="str">
        <x:v>A6</x:v>
      </x:c>
      <x:c r="B9" s="24" t="str">
        <x:v>R2</x:v>
      </x:c>
      <x:c r="C9" s="24" t="str">
        <x:v>S_ALL</x:v>
      </x:c>
      <x:c r="D9" s="24" t="n">
        <x:v>1360</x:v>
      </x:c>
      <x:c r="E9" s="26" t="n">
        <x:v>30.1235</x:v>
      </x:c>
      <x:c r="F9" s="26" t="n">
        <x:v>0.2489</x:v>
      </x:c>
      <x:c r="G9" s="26" t="n">
        <x:v>10.3492</x:v>
      </x:c>
      <x:c r="H9" s="26" t="n">
        <x:v>20.1929</x:v>
      </x:c>
    </x:row>
    <x:row r="10" ht="20" customHeight="1">
      <x:c r="A10" s="24" t="str">
        <x:v>A6</x:v>
      </x:c>
      <x:c r="B10" s="24" t="str">
        <x:v>R2</x:v>
      </x:c>
      <x:c r="C10" s="24" t="str">
        <x:v>S_CC</x:v>
      </x:c>
      <x:c r="D10" s="24" t="n">
        <x:v>1333</x:v>
      </x:c>
      <x:c r="E10" s="26" t="n">
        <x:v>12.4445</x:v>
      </x:c>
      <x:c r="F10" s="26" t="n">
        <x:v>0.0738</x:v>
      </x:c>
      <x:c r="G10" s="26" t="n">
        <x:v>6.7845</x:v>
      </x:c>
      <x:c r="H10" s="26" t="n">
        <x:v>17.9324</x:v>
      </x:c>
    </x:row>
    <x:row r="11" ht="20" customHeight="1">
      <x:c r="A11" s="24" t="str">
        <x:v>A6</x:v>
      </x:c>
      <x:c r="B11" s="24" t="str">
        <x:v>R3</x:v>
      </x:c>
      <x:c r="C11" s="24" t="str">
        <x:v>S_ALL</x:v>
      </x:c>
      <x:c r="D11" s="24" t="n">
        <x:v>1360</x:v>
      </x:c>
      <x:c r="E11" s="26" t="n">
        <x:v>29.673</x:v>
      </x:c>
      <x:c r="F11" s="26" t="n">
        <x:v>0.246</x:v>
      </x:c>
      <x:c r="G11" s="26" t="n">
        <x:v>10.0422</x:v>
      </x:c>
      <x:c r="H11" s="26" t="n">
        <x:v>19.1894</x:v>
      </x:c>
    </x:row>
    <x:row r="12" ht="20" customHeight="1">
      <x:c r="A12" s="24" t="str">
        <x:v>A6</x:v>
      </x:c>
      <x:c r="B12" s="24" t="str">
        <x:v>R3</x:v>
      </x:c>
      <x:c r="C12" s="24" t="str">
        <x:v>S_CC</x:v>
      </x:c>
      <x:c r="D12" s="24" t="n">
        <x:v>1333</x:v>
      </x:c>
      <x:c r="E12" s="26" t="n">
        <x:v>11.9446</x:v>
      </x:c>
      <x:c r="F12" s="26" t="n">
        <x:v>0.0709</x:v>
      </x:c>
      <x:c r="G12" s="26" t="n">
        <x:v>6.5116</x:v>
      </x:c>
      <x:c r="H12" s="26" t="n">
        <x:v>16.6041</x:v>
      </x:c>
    </x:row>
    <x:row r="13" ht="20" customHeight="1">
      <x:c r="A13" s="24" t="str">
        <x:v>A6</x:v>
      </x:c>
      <x:c r="B13" s="24" t="str">
        <x:v>R4</x:v>
      </x:c>
      <x:c r="C13" s="24" t="str">
        <x:v>S_ALL</x:v>
      </x:c>
      <x:c r="D13" s="24" t="n">
        <x:v>1360</x:v>
      </x:c>
      <x:c r="E13" s="26" t="n">
        <x:v>28.0144</x:v>
      </x:c>
      <x:c r="F13" s="26" t="n">
        <x:v>0.2276</x:v>
      </x:c>
      <x:c r="G13" s="26" t="n">
        <x:v>9.9679</x:v>
      </x:c>
      <x:c r="H13" s="26" t="n">
        <x:v>18.2549</x:v>
      </x:c>
    </x:row>
    <x:row r="14" ht="20" customHeight="1">
      <x:c r="A14" s="24" t="str">
        <x:v>A6</x:v>
      </x:c>
      <x:c r="B14" s="24" t="str">
        <x:v>R4</x:v>
      </x:c>
      <x:c r="C14" s="24" t="str">
        <x:v>S_CC</x:v>
      </x:c>
      <x:c r="D14" s="24" t="n">
        <x:v>1333</x:v>
      </x:c>
      <x:c r="E14" s="26" t="n">
        <x:v>11.389</x:v>
      </x:c>
      <x:c r="F14" s="26" t="n">
        <x:v>0.0662</x:v>
      </x:c>
      <x:c r="G14" s="26" t="n">
        <x:v>6.8045</x:v>
      </x:c>
      <x:c r="H14" s="26" t="n">
        <x:v>16.4127</x:v>
      </x:c>
    </x:row>
    <x:row r="15" ht="20" customHeight="1">
      <x:c r="A15" s="24" t="str">
        <x:v>A6</x:v>
      </x:c>
      <x:c r="B15" s="24" t="str">
        <x:v>R5</x:v>
      </x:c>
      <x:c r="C15" s="24" t="str">
        <x:v>S_ALL</x:v>
      </x:c>
      <x:c r="D15" s="24" t="n">
        <x:v>1360</x:v>
      </x:c>
      <x:c r="E15" s="26" t="n">
        <x:v>27.7283</x:v>
      </x:c>
      <x:c r="F15" s="26" t="n">
        <x:v>0.2278</x:v>
      </x:c>
      <x:c r="G15" s="26" t="n">
        <x:v>9.5069</x:v>
      </x:c>
      <x:c r="H15" s="26" t="n">
        <x:v>18.4148</x:v>
      </x:c>
    </x:row>
    <x:row r="16" ht="20" customHeight="1">
      <x:c r="A16" s="24" t="str">
        <x:v>A6</x:v>
      </x:c>
      <x:c r="B16" s="24" t="str">
        <x:v>R5</x:v>
      </x:c>
      <x:c r="C16" s="24" t="str">
        <x:v>S_CC</x:v>
      </x:c>
      <x:c r="D16" s="24" t="n">
        <x:v>1333</x:v>
      </x:c>
      <x:c r="E16" s="26" t="n">
        <x:v>11.6495</x:v>
      </x:c>
      <x:c r="F16" s="26" t="n">
        <x:v>0.07</x:v>
      </x:c>
      <x:c r="G16" s="26" t="n">
        <x:v>6.3892</x:v>
      </x:c>
      <x:c r="H16" s="26" t="n">
        <x:v>16.4127</x:v>
      </x:c>
    </x:row>
    <x:row r="17" ht="20" customHeight="1">
      <x:c r="A17" s="24" t="str">
        <x:v>A6</x:v>
      </x:c>
      <x:c r="B17" s="24" t="str">
        <x:v>R6</x:v>
      </x:c>
      <x:c r="C17" s="24" t="str">
        <x:v>S_ALL</x:v>
      </x:c>
      <x:c r="D17" s="24" t="n">
        <x:v>1360</x:v>
      </x:c>
      <x:c r="E17" s="26" t="n">
        <x:v>28.7158</x:v>
      </x:c>
      <x:c r="F17" s="26" t="n">
        <x:v>0.2362</x:v>
      </x:c>
      <x:c r="G17" s="26" t="n">
        <x:v>9.7757</x:v>
      </x:c>
      <x:c r="H17" s="26" t="n">
        <x:v>19.1894</x:v>
      </x:c>
    </x:row>
    <x:row r="18" ht="20" customHeight="1">
      <x:c r="A18" s="24" t="str">
        <x:v>A6</x:v>
      </x:c>
      <x:c r="B18" s="24" t="str">
        <x:v>R6</x:v>
      </x:c>
      <x:c r="C18" s="24" t="str">
        <x:v>S_CC</x:v>
      </x:c>
      <x:c r="D18" s="24" t="n">
        <x:v>1333</x:v>
      </x:c>
      <x:c r="E18" s="26" t="n">
        <x:v>12.0173</x:v>
      </x:c>
      <x:c r="F18" s="26" t="n">
        <x:v>0.0712</x:v>
      </x:c>
      <x:c r="G18" s="26" t="n">
        <x:v>6.5264</x:v>
      </x:c>
      <x:c r="H18" s="26" t="n">
        <x:v>16.6851</x:v>
      </x:c>
    </x:row>
    <x:row r="19" ht="20" customHeight="1">
      <x:c r="A19" s="24" t="str">
        <x:v>A6</x:v>
      </x:c>
      <x:c r="B19" s="24" t="str">
        <x:v>R7</x:v>
      </x:c>
      <x:c r="C19" s="24" t="str">
        <x:v>S_ALL</x:v>
      </x:c>
      <x:c r="D19" s="24" t="n">
        <x:v>1360</x:v>
      </x:c>
      <x:c r="E19" s="26" t="n">
        <x:v>25.5184</x:v>
      </x:c>
      <x:c r="F19" s="26" t="n">
        <x:v>0.2128</x:v>
      </x:c>
      <x:c r="G19" s="26" t="n">
        <x:v>7.2774</x:v>
      </x:c>
      <x:c r="H19" s="26" t="n">
        <x:v>12.5033</x:v>
      </x:c>
    </x:row>
    <x:row r="20" ht="20" customHeight="1">
      <x:c r="A20" s="24" t="str">
        <x:v>A6</x:v>
      </x:c>
      <x:c r="B20" s="24" t="str">
        <x:v>R7</x:v>
      </x:c>
      <x:c r="C20" s="24" t="str">
        <x:v>S_CC</x:v>
      </x:c>
      <x:c r="D20" s="24" t="n">
        <x:v>1333</x:v>
      </x:c>
      <x:c r="E20" s="26" t="n">
        <x:v>8.6399</x:v>
      </x:c>
      <x:c r="F20" s="26" t="n">
        <x:v>0.0511</x:v>
      </x:c>
      <x:c r="G20" s="26" t="n">
        <x:v>4.2742</x:v>
      </x:c>
      <x:c r="H20" s="26" t="n">
        <x:v>11.173</x:v>
      </x:c>
    </x:row>
    <x:row r="21" ht="20" customHeight="1">
      <x:c r="A21" s="24" t="str">
        <x:v>B5</x:v>
      </x:c>
      <x:c r="B21" s="24" t="str">
        <x:v>R0</x:v>
      </x:c>
      <x:c r="C21" s="24" t="str">
        <x:v>S_ALL</x:v>
      </x:c>
      <x:c r="D21" s="24" t="n">
        <x:v>1360</x:v>
      </x:c>
      <x:c r="E21" s="26" t="n">
        <x:v>64.4258</x:v>
      </x:c>
      <x:c r="F21" s="26" t="n">
        <x:v>0.3281</x:v>
      </x:c>
      <x:c r="G21" s="26" t="n">
        <x:v>39.6892</x:v>
      </x:c>
      <x:c r="H21" s="26" t="n">
        <x:v>120.345</x:v>
      </x:c>
    </x:row>
    <x:row r="22" ht="20" customHeight="1">
      <x:c r="A22" s="24" t="str">
        <x:v>B5</x:v>
      </x:c>
      <x:c r="B22" s="24" t="str">
        <x:v>R0</x:v>
      </x:c>
      <x:c r="C22" s="24" t="str">
        <x:v>S_CC</x:v>
      </x:c>
      <x:c r="D22" s="24" t="n">
        <x:v>1345</x:v>
      </x:c>
      <x:c r="E22" s="26" t="n">
        <x:v>64.2441</x:v>
      </x:c>
      <x:c r="F22" s="26" t="n">
        <x:v>0.3222</x:v>
      </x:c>
      <x:c r="G22" s="26" t="n">
        <x:v>39.4877</x:v>
      </x:c>
      <x:c r="H22" s="26" t="n">
        <x:v>120.2044</x:v>
      </x:c>
    </x:row>
    <x:row r="23" ht="20" customHeight="1">
      <x:c r="A23" s="24" t="str">
        <x:v>B5</x:v>
      </x:c>
      <x:c r="B23" s="24" t="str">
        <x:v>R1</x:v>
      </x:c>
      <x:c r="C23" s="24" t="str">
        <x:v>S_ALL</x:v>
      </x:c>
      <x:c r="D23" s="24" t="n">
        <x:v>1360</x:v>
      </x:c>
      <x:c r="E23" s="26" t="n">
        <x:v>19.3245</x:v>
      </x:c>
      <x:c r="F23" s="26" t="n">
        <x:v>0.1395</x:v>
      </x:c>
      <x:c r="G23" s="26" t="n">
        <x:v>9.4076</x:v>
      </x:c>
      <x:c r="H23" s="26" t="n">
        <x:v>25</x:v>
      </x:c>
    </x:row>
    <x:row r="24" ht="20" customHeight="1">
      <x:c r="A24" s="24" t="str">
        <x:v>B5</x:v>
      </x:c>
      <x:c r="B24" s="24" t="str">
        <x:v>R1</x:v>
      </x:c>
      <x:c r="C24" s="24" t="str">
        <x:v>S_CC</x:v>
      </x:c>
      <x:c r="D24" s="24" t="n">
        <x:v>1345</x:v>
      </x:c>
      <x:c r="E24" s="26" t="n">
        <x:v>14.3067</x:v>
      </x:c>
      <x:c r="F24" s="26" t="n">
        <x:v>0.0777</x:v>
      </x:c>
      <x:c r="G24" s="26" t="n">
        <x:v>8.4961</x:v>
      </x:c>
      <x:c r="H24" s="26" t="n">
        <x:v>24.2952</x:v>
      </x:c>
    </x:row>
    <x:row r="25" ht="20" customHeight="1">
      <x:c r="A25" s="24" t="str">
        <x:v>B5</x:v>
      </x:c>
      <x:c r="B25" s="24" t="str">
        <x:v>R2</x:v>
      </x:c>
      <x:c r="C25" s="24" t="str">
        <x:v>S_ALL</x:v>
      </x:c>
      <x:c r="D25" s="24" t="n">
        <x:v>1360</x:v>
      </x:c>
      <x:c r="E25" s="26" t="n">
        <x:v>20.1082</x:v>
      </x:c>
      <x:c r="F25" s="26" t="n">
        <x:v>0.1588</x:v>
      </x:c>
      <x:c r="G25" s="26" t="n">
        <x:v>7.9962</x:v>
      </x:c>
      <x:c r="H25" s="26" t="n">
        <x:v>18.4947</x:v>
      </x:c>
    </x:row>
    <x:row r="26" ht="20" customHeight="1">
      <x:c r="A26" s="24" t="str">
        <x:v>B5</x:v>
      </x:c>
      <x:c r="B26" s="24" t="str">
        <x:v>R2</x:v>
      </x:c>
      <x:c r="C26" s="24" t="str">
        <x:v>S_CC</x:v>
      </x:c>
      <x:c r="D26" s="24" t="n">
        <x:v>1345</x:v>
      </x:c>
      <x:c r="E26" s="26" t="n">
        <x:v>12.4435</x:v>
      </x:c>
      <x:c r="F26" s="26" t="n">
        <x:v>0.0737</x:v>
      </x:c>
      <x:c r="G26" s="26" t="n">
        <x:v>6.7854</x:v>
      </x:c>
      <x:c r="H26" s="26" t="n">
        <x:v>18.0153</x:v>
      </x:c>
    </x:row>
    <x:row r="27" ht="20" customHeight="1">
      <x:c r="A27" s="24" t="str">
        <x:v>B5</x:v>
      </x:c>
      <x:c r="B27" s="24" t="str">
        <x:v>R3</x:v>
      </x:c>
      <x:c r="C27" s="24" t="str">
        <x:v>S_ALL</x:v>
      </x:c>
      <x:c r="D27" s="24" t="n">
        <x:v>1360</x:v>
      </x:c>
      <x:c r="E27" s="26" t="n">
        <x:v>20.1082</x:v>
      </x:c>
      <x:c r="F27" s="26" t="n">
        <x:v>0.1588</x:v>
      </x:c>
      <x:c r="G27" s="26" t="n">
        <x:v>7.9962</x:v>
      </x:c>
      <x:c r="H27" s="26" t="n">
        <x:v>18.4947</x:v>
      </x:c>
    </x:row>
    <x:row r="28" ht="20" customHeight="1">
      <x:c r="A28" s="24" t="str">
        <x:v>B5</x:v>
      </x:c>
      <x:c r="B28" s="24" t="str">
        <x:v>R3</x:v>
      </x:c>
      <x:c r="C28" s="24" t="str">
        <x:v>S_CC</x:v>
      </x:c>
      <x:c r="D28" s="24" t="n">
        <x:v>1345</x:v>
      </x:c>
      <x:c r="E28" s="26" t="n">
        <x:v>12.4435</x:v>
      </x:c>
      <x:c r="F28" s="26" t="n">
        <x:v>0.0737</x:v>
      </x:c>
      <x:c r="G28" s="26" t="n">
        <x:v>6.7854</x:v>
      </x:c>
      <x:c r="H28" s="26" t="n">
        <x:v>18.0153</x:v>
      </x:c>
    </x:row>
    <x:row r="29" ht="20" customHeight="1">
      <x:c r="A29" s="24" t="str">
        <x:v>B5</x:v>
      </x:c>
      <x:c r="B29" s="24" t="str">
        <x:v>R4</x:v>
      </x:c>
      <x:c r="C29" s="24" t="str">
        <x:v>S_ALL</x:v>
      </x:c>
      <x:c r="D29" s="24" t="n">
        <x:v>1360</x:v>
      </x:c>
      <x:c r="E29" s="26" t="n">
        <x:v>17.4473</x:v>
      </x:c>
      <x:c r="F29" s="26" t="n">
        <x:v>0.1352</x:v>
      </x:c>
      <x:c r="G29" s="26" t="n">
        <x:v>7.7804</x:v>
      </x:c>
      <x:c r="H29" s="26" t="n">
        <x:v>17.1878</x:v>
      </x:c>
    </x:row>
    <x:row r="30" ht="20" customHeight="1">
      <x:c r="A30" s="24" t="str">
        <x:v>B5</x:v>
      </x:c>
      <x:c r="B30" s="24" t="str">
        <x:v>R4</x:v>
      </x:c>
      <x:c r="C30" s="24" t="str">
        <x:v>S_CC</x:v>
      </x:c>
      <x:c r="D30" s="24" t="n">
        <x:v>1345</x:v>
      </x:c>
      <x:c r="E30" s="26" t="n">
        <x:v>11.389</x:v>
      </x:c>
      <x:c r="F30" s="26" t="n">
        <x:v>0.0665</x:v>
      </x:c>
      <x:c r="G30" s="26" t="n">
        <x:v>6.8155</x:v>
      </x:c>
      <x:c r="H30" s="26" t="n">
        <x:v>16.449</x:v>
      </x:c>
    </x:row>
    <x:row r="31" ht="20" customHeight="1">
      <x:c r="A31" s="24" t="str">
        <x:v>B5</x:v>
      </x:c>
      <x:c r="B31" s="24" t="str">
        <x:v>R5</x:v>
      </x:c>
      <x:c r="C31" s="24" t="str">
        <x:v>S_ALL</x:v>
      </x:c>
      <x:c r="D31" s="24" t="n">
        <x:v>1360</x:v>
      </x:c>
      <x:c r="E31" s="26" t="n">
        <x:v>17.7724</x:v>
      </x:c>
      <x:c r="F31" s="26" t="n">
        <x:v>0.1379</x:v>
      </x:c>
      <x:c r="G31" s="26" t="n">
        <x:v>7.4821</x:v>
      </x:c>
      <x:c r="H31" s="26" t="n">
        <x:v>17.3463</x:v>
      </x:c>
    </x:row>
    <x:row r="32" ht="20" customHeight="1">
      <x:c r="A32" s="24" t="str">
        <x:v>B5</x:v>
      </x:c>
      <x:c r="B32" s="24" t="str">
        <x:v>R5</x:v>
      </x:c>
      <x:c r="C32" s="24" t="str">
        <x:v>S_CC</x:v>
      </x:c>
      <x:c r="D32" s="24" t="n">
        <x:v>1345</x:v>
      </x:c>
      <x:c r="E32" s="26" t="n">
        <x:v>11.891</x:v>
      </x:c>
      <x:c r="F32" s="26" t="n">
        <x:v>0.0719</x:v>
      </x:c>
      <x:c r="G32" s="26" t="n">
        <x:v>6.5226</x:v>
      </x:c>
      <x:c r="H32" s="26" t="n">
        <x:v>16.7807</x:v>
      </x:c>
    </x:row>
    <x:row r="33" ht="20" customHeight="1">
      <x:c r="A33" s="24" t="str">
        <x:v>B5</x:v>
      </x:c>
      <x:c r="B33" s="24" t="str">
        <x:v>R6</x:v>
      </x:c>
      <x:c r="C33" s="24" t="str">
        <x:v>S_ALL</x:v>
      </x:c>
      <x:c r="D33" s="24" t="n">
        <x:v>1360</x:v>
      </x:c>
      <x:c r="E33" s="26" t="n">
        <x:v>18.1699</x:v>
      </x:c>
      <x:c r="F33" s="26" t="n">
        <x:v>0.1389</x:v>
      </x:c>
      <x:c r="G33" s="26" t="n">
        <x:v>7.774</x:v>
      </x:c>
      <x:c r="H33" s="26" t="n">
        <x:v>18.8081</x:v>
      </x:c>
    </x:row>
    <x:row r="34" ht="20" customHeight="1">
      <x:c r="A34" s="24" t="str">
        <x:v>B5</x:v>
      </x:c>
      <x:c r="B34" s="24" t="str">
        <x:v>R6</x:v>
      </x:c>
      <x:c r="C34" s="24" t="str">
        <x:v>S_CC</x:v>
      </x:c>
      <x:c r="D34" s="24" t="n">
        <x:v>1345</x:v>
      </x:c>
      <x:c r="E34" s="26" t="n">
        <x:v>12.4837</x:v>
      </x:c>
      <x:c r="F34" s="26" t="n">
        <x:v>0.0739</x:v>
      </x:c>
      <x:c r="G34" s="26" t="n">
        <x:v>6.8177</x:v>
      </x:c>
      <x:c r="H34" s="26" t="n">
        <x:v>18.0938</x:v>
      </x:c>
    </x:row>
    <x:row r="35" ht="20" customHeight="1">
      <x:c r="A35" s="24" t="str">
        <x:v>B5</x:v>
      </x:c>
      <x:c r="B35" s="24" t="str">
        <x:v>R7</x:v>
      </x:c>
      <x:c r="C35" s="24" t="str">
        <x:v>S_ALL</x:v>
      </x:c>
      <x:c r="D35" s="24" t="n">
        <x:v>1360</x:v>
      </x:c>
      <x:c r="E35" s="26" t="n">
        <x:v>15.794</x:v>
      </x:c>
      <x:c r="F35" s="26" t="n">
        <x:v>0.1283</x:v>
      </x:c>
      <x:c r="G35" s="26" t="n">
        <x:v>5.259</x:v>
      </x:c>
      <x:c r="H35" s="26" t="n">
        <x:v>12.0343</x:v>
      </x:c>
    </x:row>
    <x:row r="36" ht="20" customHeight="1">
      <x:c r="A36" s="24" t="str">
        <x:v>B5</x:v>
      </x:c>
      <x:c r="B36" s="24" t="str">
        <x:v>R7</x:v>
      </x:c>
      <x:c r="C36" s="24" t="str">
        <x:v>S_CC</x:v>
      </x:c>
      <x:c r="D36" s="24" t="n">
        <x:v>1345</x:v>
      </x:c>
      <x:c r="E36" s="26" t="n">
        <x:v>8.6175</x:v>
      </x:c>
      <x:c r="F36" s="26" t="n">
        <x:v>0.051</x:v>
      </x:c>
      <x:c r="G36" s="26" t="n">
        <x:v>4.275</x:v>
      </x:c>
      <x:c r="H36" s="26" t="n">
        <x:v>11.5877</x:v>
      </x:c>
    </x:row>
    <x:row r="37" ht="20" customHeight="1">
      <x:c r="A37" s="24" t="str">
        <x:v>B2</x:v>
      </x:c>
      <x:c r="B37" s="24" t="str">
        <x:v>R0</x:v>
      </x:c>
      <x:c r="C37" s="24" t="str">
        <x:v>S_ALL</x:v>
      </x:c>
      <x:c r="D37" s="24" t="n">
        <x:v>1360</x:v>
      </x:c>
      <x:c r="E37" s="26" t="n">
        <x:v>64.3963</x:v>
      </x:c>
      <x:c r="F37" s="26" t="n">
        <x:v>0.3276</x:v>
      </x:c>
      <x:c r="G37" s="26" t="n">
        <x:v>39.6764</x:v>
      </x:c>
      <x:c r="H37" s="26" t="n">
        <x:v>120.345</x:v>
      </x:c>
    </x:row>
    <x:row r="38" ht="20" customHeight="1">
      <x:c r="A38" s="24" t="str">
        <x:v>B2</x:v>
      </x:c>
      <x:c r="B38" s="24" t="str">
        <x:v>R0</x:v>
      </x:c>
      <x:c r="C38" s="24" t="str">
        <x:v>S_CC</x:v>
      </x:c>
      <x:c r="D38" s="24" t="n">
        <x:v>1350</x:v>
      </x:c>
      <x:c r="E38" s="26" t="n">
        <x:v>64.116</x:v>
      </x:c>
      <x:c r="F38" s="26" t="n">
        <x:v>0.3214</x:v>
      </x:c>
      <x:c r="G38" s="26" t="n">
        <x:v>39.3631</x:v>
      </x:c>
      <x:c r="H38" s="26" t="n">
        <x:v>120.0433</x:v>
      </x:c>
    </x:row>
    <x:row r="39" ht="20" customHeight="1">
      <x:c r="A39" s="24" t="str">
        <x:v>B2</x:v>
      </x:c>
      <x:c r="B39" s="24" t="str">
        <x:v>R1</x:v>
      </x:c>
      <x:c r="C39" s="24" t="str">
        <x:v>S_ALL</x:v>
      </x:c>
      <x:c r="D39" s="24" t="n">
        <x:v>1360</x:v>
      </x:c>
      <x:c r="E39" s="26" t="n">
        <x:v>18.1434</x:v>
      </x:c>
      <x:c r="F39" s="26" t="n">
        <x:v>0.1264</x:v>
      </x:c>
      <x:c r="G39" s="26" t="n">
        <x:v>9.2834</x:v>
      </x:c>
      <x:c r="H39" s="26" t="n">
        <x:v>25</x:v>
      </x:c>
    </x:row>
    <x:row r="40" ht="20" customHeight="1">
      <x:c r="A40" s="24" t="str">
        <x:v>B2</x:v>
      </x:c>
      <x:c r="B40" s="24" t="str">
        <x:v>R1</x:v>
      </x:c>
      <x:c r="C40" s="24" t="str">
        <x:v>S_CC</x:v>
      </x:c>
      <x:c r="D40" s="24" t="n">
        <x:v>1350</x:v>
      </x:c>
      <x:c r="E40" s="26" t="n">
        <x:v>14.2488</x:v>
      </x:c>
      <x:c r="F40" s="26" t="n">
        <x:v>0.0771</x:v>
      </x:c>
      <x:c r="G40" s="26" t="n">
        <x:v>8.4551</x:v>
      </x:c>
      <x:c r="H40" s="26" t="n">
        <x:v>24.0554</x:v>
      </x:c>
    </x:row>
    <x:row r="41" ht="20" customHeight="1">
      <x:c r="A41" s="24" t="str">
        <x:v>B2</x:v>
      </x:c>
      <x:c r="B41" s="24" t="str">
        <x:v>R2</x:v>
      </x:c>
      <x:c r="C41" s="24" t="str">
        <x:v>S_ALL</x:v>
      </x:c>
      <x:c r="D41" s="24" t="n">
        <x:v>1360</x:v>
      </x:c>
      <x:c r="E41" s="26" t="n">
        <x:v>19.7959</x:v>
      </x:c>
      <x:c r="F41" s="26" t="n">
        <x:v>0.1557</x:v>
      </x:c>
      <x:c r="G41" s="26" t="n">
        <x:v>7.9133</x:v>
      </x:c>
      <x:c r="H41" s="26" t="n">
        <x:v>18.329</x:v>
      </x:c>
    </x:row>
    <x:row r="42" ht="20" customHeight="1">
      <x:c r="A42" s="24" t="str">
        <x:v>B2</x:v>
      </x:c>
      <x:c r="B42" s="24" t="str">
        <x:v>R2</x:v>
      </x:c>
      <x:c r="C42" s="24" t="str">
        <x:v>S_CC</x:v>
      </x:c>
      <x:c r="D42" s="24" t="n">
        <x:v>1350</x:v>
      </x:c>
      <x:c r="E42" s="26" t="n">
        <x:v>12.3415</x:v>
      </x:c>
      <x:c r="F42" s="26" t="n">
        <x:v>0.0725</x:v>
      </x:c>
      <x:c r="G42" s="26" t="n">
        <x:v>6.7224</x:v>
      </x:c>
      <x:c r="H42" s="26" t="n">
        <x:v>17.6557</x:v>
      </x:c>
    </x:row>
    <x:row r="43" ht="20" customHeight="1">
      <x:c r="A43" s="24" t="str">
        <x:v>B2</x:v>
      </x:c>
      <x:c r="B43" s="24" t="str">
        <x:v>R3</x:v>
      </x:c>
      <x:c r="C43" s="24" t="str">
        <x:v>S_ALL</x:v>
      </x:c>
      <x:c r="D43" s="24" t="n">
        <x:v>1360</x:v>
      </x:c>
      <x:c r="E43" s="26" t="n">
        <x:v>19.7959</x:v>
      </x:c>
      <x:c r="F43" s="26" t="n">
        <x:v>0.1557</x:v>
      </x:c>
      <x:c r="G43" s="26" t="n">
        <x:v>7.9133</x:v>
      </x:c>
      <x:c r="H43" s="26" t="n">
        <x:v>18.329</x:v>
      </x:c>
    </x:row>
    <x:row r="44" ht="20" customHeight="1">
      <x:c r="A44" s="24" t="str">
        <x:v>B2</x:v>
      </x:c>
      <x:c r="B44" s="24" t="str">
        <x:v>R3</x:v>
      </x:c>
      <x:c r="C44" s="24" t="str">
        <x:v>S_CC</x:v>
      </x:c>
      <x:c r="D44" s="24" t="n">
        <x:v>1350</x:v>
      </x:c>
      <x:c r="E44" s="26" t="n">
        <x:v>12.3415</x:v>
      </x:c>
      <x:c r="F44" s="26" t="n">
        <x:v>0.0725</x:v>
      </x:c>
      <x:c r="G44" s="26" t="n">
        <x:v>6.7224</x:v>
      </x:c>
      <x:c r="H44" s="26" t="n">
        <x:v>17.6557</x:v>
      </x:c>
    </x:row>
    <x:row r="45" ht="20" customHeight="1">
      <x:c r="A45" s="24" t="str">
        <x:v>B2</x:v>
      </x:c>
      <x:c r="B45" s="24" t="str">
        <x:v>R4</x:v>
      </x:c>
      <x:c r="C45" s="24" t="str">
        <x:v>S_ALL</x:v>
      </x:c>
      <x:c r="D45" s="24" t="n">
        <x:v>1360</x:v>
      </x:c>
      <x:c r="E45" s="26" t="n">
        <x:v>14.6564</x:v>
      </x:c>
      <x:c r="F45" s="26" t="n">
        <x:v>0.1059</x:v>
      </x:c>
      <x:c r="G45" s="26" t="n">
        <x:v>7.4099</x:v>
      </x:c>
      <x:c r="H45" s="26" t="n">
        <x:v>16.9383</x:v>
      </x:c>
    </x:row>
    <x:row r="46" ht="20" customHeight="1">
      <x:c r="A46" s="24" t="str">
        <x:v>B2</x:v>
      </x:c>
      <x:c r="B46" s="24" t="str">
        <x:v>R4</x:v>
      </x:c>
      <x:c r="C46" s="24" t="str">
        <x:v>S_CC</x:v>
      </x:c>
      <x:c r="D46" s="24" t="n">
        <x:v>1350</x:v>
      </x:c>
      <x:c r="E46" s="26" t="n">
        <x:v>11.3288</x:v>
      </x:c>
      <x:c r="F46" s="26" t="n">
        <x:v>0.0658</x:v>
      </x:c>
      <x:c r="G46" s="26" t="n">
        <x:v>6.7827</x:v>
      </x:c>
      <x:c r="H46" s="26" t="n">
        <x:v>16.3986</x:v>
      </x:c>
    </x:row>
    <x:row r="47" ht="20" customHeight="1">
      <x:c r="A47" s="24" t="str">
        <x:v>B2</x:v>
      </x:c>
      <x:c r="B47" s="24" t="str">
        <x:v>R5</x:v>
      </x:c>
      <x:c r="C47" s="24" t="str">
        <x:v>S_ALL</x:v>
      </x:c>
      <x:c r="D47" s="24" t="n">
        <x:v>1360</x:v>
      </x:c>
      <x:c r="E47" s="26" t="n">
        <x:v>15.008</x:v>
      </x:c>
      <x:c r="F47" s="26" t="n">
        <x:v>0.1089</x:v>
      </x:c>
      <x:c r="G47" s="26" t="n">
        <x:v>7.0854</x:v>
      </x:c>
      <x:c r="H47" s="26" t="n">
        <x:v>17.2053</x:v>
      </x:c>
    </x:row>
    <x:row r="48" ht="20" customHeight="1">
      <x:c r="A48" s="24" t="str">
        <x:v>B2</x:v>
      </x:c>
      <x:c r="B48" s="24" t="str">
        <x:v>R5</x:v>
      </x:c>
      <x:c r="C48" s="24" t="str">
        <x:v>S_CC</x:v>
      </x:c>
      <x:c r="D48" s="24" t="n">
        <x:v>1350</x:v>
      </x:c>
      <x:c r="E48" s="26" t="n">
        <x:v>11.7834</x:v>
      </x:c>
      <x:c r="F48" s="26" t="n">
        <x:v>0.0707</x:v>
      </x:c>
      <x:c r="G48" s="26" t="n">
        <x:v>6.4557</x:v>
      </x:c>
      <x:c r="H48" s="26" t="n">
        <x:v>16.5742</x:v>
      </x:c>
    </x:row>
    <x:row r="49" ht="20" customHeight="1">
      <x:c r="A49" s="24" t="str">
        <x:v>B2</x:v>
      </x:c>
      <x:c r="B49" s="24" t="str">
        <x:v>R6</x:v>
      </x:c>
      <x:c r="C49" s="24" t="str">
        <x:v>S_ALL</x:v>
      </x:c>
      <x:c r="D49" s="24" t="n">
        <x:v>1360</x:v>
      </x:c>
      <x:c r="E49" s="26" t="n">
        <x:v>15.4945</x:v>
      </x:c>
      <x:c r="F49" s="26" t="n">
        <x:v>0.1102</x:v>
      </x:c>
      <x:c r="G49" s="26" t="n">
        <x:v>7.3831</x:v>
      </x:c>
      <x:c r="H49" s="26" t="n">
        <x:v>18.4083</x:v>
      </x:c>
    </x:row>
    <x:row r="50" ht="20" customHeight="1">
      <x:c r="A50" s="24" t="str">
        <x:v>B2</x:v>
      </x:c>
      <x:c r="B50" s="24" t="str">
        <x:v>R6</x:v>
      </x:c>
      <x:c r="C50" s="24" t="str">
        <x:v>S_CC</x:v>
      </x:c>
      <x:c r="D50" s="24" t="n">
        <x:v>1350</x:v>
      </x:c>
      <x:c r="E50" s="26" t="n">
        <x:v>12.4016</x:v>
      </x:c>
      <x:c r="F50" s="26" t="n">
        <x:v>0.0727</x:v>
      </x:c>
      <x:c r="G50" s="26" t="n">
        <x:v>6.7557</x:v>
      </x:c>
      <x:c r="H50" s="26" t="n">
        <x:v>18.0277</x:v>
      </x:c>
    </x:row>
    <x:row r="51" ht="20" customHeight="1">
      <x:c r="A51" s="24" t="str">
        <x:v>B2</x:v>
      </x:c>
      <x:c r="B51" s="24" t="str">
        <x:v>R7</x:v>
      </x:c>
      <x:c r="C51" s="24" t="str">
        <x:v>S_ALL</x:v>
      </x:c>
      <x:c r="D51" s="24" t="n">
        <x:v>1360</x:v>
      </x:c>
      <x:c r="E51" s="26" t="n">
        <x:v>12.6393</x:v>
      </x:c>
      <x:c r="F51" s="26" t="n">
        <x:v>0.0969</x:v>
      </x:c>
      <x:c r="G51" s="26" t="n">
        <x:v>4.8772</x:v>
      </x:c>
      <x:c r="H51" s="26" t="n">
        <x:v>11.8752</x:v>
      </x:c>
    </x:row>
    <x:row r="52" ht="20" customHeight="1">
      <x:c r="A52" s="24" t="str">
        <x:v>B2</x:v>
      </x:c>
      <x:c r="B52" s="24" t="str">
        <x:v>R7</x:v>
      </x:c>
      <x:c r="C52" s="24" t="str">
        <x:v>S_CC</x:v>
      </x:c>
      <x:c r="D52" s="24" t="n">
        <x:v>1350</x:v>
      </x:c>
      <x:c r="E52" s="26" t="n">
        <x:v>8.5367</x:v>
      </x:c>
      <x:c r="F52" s="26" t="n">
        <x:v>0.05</x:v>
      </x:c>
      <x:c r="G52" s="26" t="n">
        <x:v>4.2312</x:v>
      </x:c>
      <x:c r="H52" s="26" t="n">
        <x:v>11.401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6" customHeight="1">
      <x:c r="A1" s="20" t="str">
        <x:v>Formal C5 operational QC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</x:row>
    <x:row r="2" ht="34" customHeight="1">
      <x:c r="A2" s="21" t="str">
        <x:v>Actual-route FULL/HC95/HC90 are deployable-policy metrics. Oracle columns are forced-true-class diagnostics under frozen masks.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</x:row>
    <x:row r="4" ht="32" customHeight="1">
      <x:c r="A4" s="23" t="str">
        <x:v>Classifier</x:v>
      </x:c>
      <x:c r="B4" s="23" t="str">
        <x:v>Workpoint</x:v>
      </x:c>
      <x:c r="C4" s="23" t="str">
        <x:v>Accept/Review/Reject</x:v>
      </x:c>
      <x:c r="D4" s="23" t="str">
        <x:v>Yield</x:v>
      </x:c>
      <x:c r="E4" s="23" t="str">
        <x:v>Nonreject</x:v>
      </x:c>
      <x:c r="F4" s="23" t="str">
        <x:v>Actual Accepted RMSE</x:v>
      </x:c>
      <x:c r="G4" s="23" t="str">
        <x:v>Actual Accepted NRMSE</x:v>
      </x:c>
      <x:c r="H4" s="23" t="str">
        <x:v>Actual Nonreject RMSE</x:v>
      </x:c>
      <x:c r="I4" s="23" t="str">
        <x:v>Actual Nonreject NRMSE</x:v>
      </x:c>
      <x:c r="J4" s="23" t="str">
        <x:v>Oracle Accepted RMSE</x:v>
      </x:c>
      <x:c r="K4" s="23" t="str">
        <x:v>Oracle Accepted NRMSE</x:v>
      </x:c>
      <x:c r="L4" s="23" t="str">
        <x:v>Oracle Nonreject RMSE</x:v>
      </x:c>
      <x:c r="M4" s="23" t="str">
        <x:v>Oracle Nonreject NRMSE</x:v>
      </x:c>
      <x:c r="N4" s="23" t="str">
        <x:v>Route-error recall</x:v>
      </x:c>
      <x:c r="O4" s="23" t="str">
        <x:v>High-error recall</x:v>
      </x:c>
      <x:c r="P4" s="23" t="str">
        <x:v>Random RMSE</x:v>
      </x:c>
    </x:row>
    <x:row r="5" ht="20" customHeight="1">
      <x:c r="A5" s="24" t="str">
        <x:v>A6</x:v>
      </x:c>
      <x:c r="B5" s="24" t="str">
        <x:v>FULL</x:v>
      </x:c>
      <x:c r="C5" s="24" t="str">
        <x:v>1360/0/0</x:v>
      </x:c>
      <x:c r="D5" s="26" t="n">
        <x:v>1</x:v>
      </x:c>
      <x:c r="E5" s="26" t="n">
        <x:v>1</x:v>
      </x:c>
      <x:c r="F5" s="26" t="n">
        <x:v>28.0144</x:v>
      </x:c>
      <x:c r="G5" s="26" t="n">
        <x:v>0.2276</x:v>
      </x:c>
      <x:c r="H5" s="26" t="n">
        <x:v>28.0144</x:v>
      </x:c>
      <x:c r="I5" s="26" t="n">
        <x:v>0.2276</x:v>
      </x:c>
      <x:c r="J5" s="26" t="n">
        <x:v>11.9082</x:v>
      </x:c>
      <x:c r="K5" s="26" t="n">
        <x:v>0.069</x:v>
      </x:c>
      <x:c r="L5" s="26" t="n">
        <x:v>11.9082</x:v>
      </x:c>
      <x:c r="M5" s="26" t="n">
        <x:v>0.069</x:v>
      </x:c>
      <x:c r="N5" s="26" t="n">
        <x:v>0</x:v>
      </x:c>
      <x:c r="O5" s="26" t="n">
        <x:v>0</x:v>
      </x:c>
      <x:c r="P5" s="26" t="n">
        <x:v>28.0144</x:v>
      </x:c>
    </x:row>
    <x:row r="6" ht="20" customHeight="1">
      <x:c r="A6" s="24" t="str">
        <x:v>A6</x:v>
      </x:c>
      <x:c r="B6" s="24" t="str">
        <x:v>HC95</x:v>
      </x:c>
      <x:c r="C6" s="24" t="str">
        <x:v>1233/86/41</x:v>
      </x:c>
      <x:c r="D6" s="26" t="n">
        <x:v>0.9066</x:v>
      </x:c>
      <x:c r="E6" s="26" t="n">
        <x:v>0.9699</x:v>
      </x:c>
      <x:c r="F6" s="26" t="n">
        <x:v>21.1455</x:v>
      </x:c>
      <x:c r="G6" s="26" t="n">
        <x:v>0.1731</x:v>
      </x:c>
      <x:c r="H6" s="26" t="n">
        <x:v>22.3047</x:v>
      </x:c>
      <x:c r="I6" s="26" t="n">
        <x:v>0.1839</x:v>
      </x:c>
      <x:c r="J6" s="26" t="n">
        <x:v>10.7938</x:v>
      </x:c>
      <x:c r="K6" s="26" t="n">
        <x:v>0.0619</x:v>
      </x:c>
      <x:c r="L6" s="26" t="n">
        <x:v>11.0614</x:v>
      </x:c>
      <x:c r="M6" s="26" t="n">
        <x:v>0.0647</x:v>
      </x:c>
      <x:c r="N6" s="26" t="n">
        <x:v>0.6667</x:v>
      </x:c>
      <x:c r="O6" s="26" t="n">
        <x:v>0.3333</x:v>
      </x:c>
      <x:c r="P6" s="26" t="n">
        <x:v>28.0335</x:v>
      </x:c>
    </x:row>
    <x:row r="7" ht="20" customHeight="1">
      <x:c r="A7" s="24" t="str">
        <x:v>A6</x:v>
      </x:c>
      <x:c r="B7" s="24" t="str">
        <x:v>HC90</x:v>
      </x:c>
      <x:c r="C7" s="24" t="str">
        <x:v>1207/98/55</x:v>
      </x:c>
      <x:c r="D7" s="26" t="n">
        <x:v>0.8875</x:v>
      </x:c>
      <x:c r="E7" s="26" t="n">
        <x:v>0.9596</x:v>
      </x:c>
      <x:c r="F7" s="26" t="n">
        <x:v>20.5914</x:v>
      </x:c>
      <x:c r="G7" s="26" t="n">
        <x:v>0.1677</x:v>
      </x:c>
      <x:c r="H7" s="26" t="n">
        <x:v>22.3814</x:v>
      </x:c>
      <x:c r="I7" s="26" t="n">
        <x:v>0.1847</x:v>
      </x:c>
      <x:c r="J7" s="26" t="n">
        <x:v>10.7762</x:v>
      </x:c>
      <x:c r="K7" s="26" t="n">
        <x:v>0.0617</x:v>
      </x:c>
      <x:c r="L7" s="26" t="n">
        <x:v>11.0343</x:v>
      </x:c>
      <x:c r="M7" s="26" t="n">
        <x:v>0.0644</x:v>
      </x:c>
      <x:c r="N7" s="26" t="n">
        <x:v>0.7407</x:v>
      </x:c>
      <x:c r="O7" s="26" t="n">
        <x:v>0.3673</x:v>
      </x:c>
      <x:c r="P7" s="26" t="n">
        <x:v>27.9648</x:v>
      </x:c>
    </x:row>
    <x:row r="8" ht="20" customHeight="1">
      <x:c r="A8" s="24" t="str">
        <x:v>B5</x:v>
      </x:c>
      <x:c r="B8" s="24" t="str">
        <x:v>FULL</x:v>
      </x:c>
      <x:c r="C8" s="24" t="str">
        <x:v>1360/0/0</x:v>
      </x:c>
      <x:c r="D8" s="26" t="n">
        <x:v>1</x:v>
      </x:c>
      <x:c r="E8" s="26" t="n">
        <x:v>1</x:v>
      </x:c>
      <x:c r="F8" s="26" t="n">
        <x:v>17.4473</x:v>
      </x:c>
      <x:c r="G8" s="26" t="n">
        <x:v>0.1352</x:v>
      </x:c>
      <x:c r="H8" s="26" t="n">
        <x:v>17.4473</x:v>
      </x:c>
      <x:c r="I8" s="26" t="n">
        <x:v>0.1352</x:v>
      </x:c>
      <x:c r="J8" s="26" t="n">
        <x:v>11.9082</x:v>
      </x:c>
      <x:c r="K8" s="26" t="n">
        <x:v>0.069</x:v>
      </x:c>
      <x:c r="L8" s="26" t="n">
        <x:v>11.9082</x:v>
      </x:c>
      <x:c r="M8" s="26" t="n">
        <x:v>0.069</x:v>
      </x:c>
      <x:c r="N8" s="26" t="n">
        <x:v>0</x:v>
      </x:c>
      <x:c r="O8" s="26" t="n">
        <x:v>0</x:v>
      </x:c>
      <x:c r="P8" s="26" t="n">
        <x:v>17.4473</x:v>
      </x:c>
    </x:row>
    <x:row r="9" ht="20" customHeight="1">
      <x:c r="A9" s="24" t="str">
        <x:v>B5</x:v>
      </x:c>
      <x:c r="B9" s="24" t="str">
        <x:v>HC95</x:v>
      </x:c>
      <x:c r="C9" s="24" t="str">
        <x:v>1309/33/18</x:v>
      </x:c>
      <x:c r="D9" s="26" t="n">
        <x:v>0.9625</x:v>
      </x:c>
      <x:c r="E9" s="26" t="n">
        <x:v>0.9868</x:v>
      </x:c>
      <x:c r="F9" s="26" t="n">
        <x:v>15.9075</x:v>
      </x:c>
      <x:c r="G9" s="26" t="n">
        <x:v>0.1197</x:v>
      </x:c>
      <x:c r="H9" s="26" t="n">
        <x:v>16.0983</x:v>
      </x:c>
      <x:c r="I9" s="26" t="n">
        <x:v>0.1213</x:v>
      </x:c>
      <x:c r="J9" s="26" t="n">
        <x:v>11.803</x:v>
      </x:c>
      <x:c r="K9" s="26" t="n">
        <x:v>0.0682</x:v>
      </x:c>
      <x:c r="L9" s="26" t="n">
        <x:v>11.8667</x:v>
      </x:c>
      <x:c r="M9" s="26" t="n">
        <x:v>0.0685</x:v>
      </x:c>
      <x:c r="N9" s="26" t="n">
        <x:v>0.4667</x:v>
      </x:c>
      <x:c r="O9" s="26" t="n">
        <x:v>0.1481</x:v>
      </x:c>
      <x:c r="P9" s="26" t="n">
        <x:v>17.4439</x:v>
      </x:c>
    </x:row>
    <x:row r="10" ht="20" customHeight="1">
      <x:c r="A10" s="24" t="str">
        <x:v>B5</x:v>
      </x:c>
      <x:c r="B10" s="24" t="str">
        <x:v>HC90</x:v>
      </x:c>
      <x:c r="C10" s="24" t="str">
        <x:v>1200/142/18</x:v>
      </x:c>
      <x:c r="D10" s="26" t="n">
        <x:v>0.8824</x:v>
      </x:c>
      <x:c r="E10" s="26" t="n">
        <x:v>0.9868</x:v>
      </x:c>
      <x:c r="F10" s="26" t="n">
        <x:v>15.3599</x:v>
      </x:c>
      <x:c r="G10" s="26" t="n">
        <x:v>0.1151</x:v>
      </x:c>
      <x:c r="H10" s="26" t="n">
        <x:v>16.0983</x:v>
      </x:c>
      <x:c r="I10" s="26" t="n">
        <x:v>0.1213</x:v>
      </x:c>
      <x:c r="J10" s="26" t="n">
        <x:v>10.9942</x:v>
      </x:c>
      <x:c r="K10" s="26" t="n">
        <x:v>0.0646</x:v>
      </x:c>
      <x:c r="L10" s="26" t="n">
        <x:v>11.8667</x:v>
      </x:c>
      <x:c r="M10" s="26" t="n">
        <x:v>0.0685</x:v>
      </x:c>
      <x:c r="N10" s="26" t="n">
        <x:v>0.6667</x:v>
      </x:c>
      <x:c r="O10" s="26" t="n">
        <x:v>0.3185</x:v>
      </x:c>
      <x:c r="P10" s="26" t="n">
        <x:v>17.431</x:v>
      </x:c>
    </x:row>
    <x:row r="11" ht="20" customHeight="1">
      <x:c r="A11" s="24" t="str">
        <x:v>B2</x:v>
      </x:c>
      <x:c r="B11" s="24" t="str">
        <x:v>FULL</x:v>
      </x:c>
      <x:c r="C11" s="24" t="str">
        <x:v>1360/0/0</x:v>
      </x:c>
      <x:c r="D11" s="26" t="n">
        <x:v>1</x:v>
      </x:c>
      <x:c r="E11" s="26" t="n">
        <x:v>1</x:v>
      </x:c>
      <x:c r="F11" s="26" t="n">
        <x:v>14.6564</x:v>
      </x:c>
      <x:c r="G11" s="26" t="n">
        <x:v>0.1059</x:v>
      </x:c>
      <x:c r="H11" s="26" t="n">
        <x:v>14.6564</x:v>
      </x:c>
      <x:c r="I11" s="26" t="n">
        <x:v>0.1059</x:v>
      </x:c>
      <x:c r="J11" s="26" t="n">
        <x:v>11.9082</x:v>
      </x:c>
      <x:c r="K11" s="26" t="n">
        <x:v>0.069</x:v>
      </x:c>
      <x:c r="L11" s="26" t="n">
        <x:v>11.9082</x:v>
      </x:c>
      <x:c r="M11" s="26" t="n">
        <x:v>0.069</x:v>
      </x:c>
      <x:c r="N11" s="26" t="n">
        <x:v>0</x:v>
      </x:c>
      <x:c r="O11" s="26" t="n">
        <x:v>0</x:v>
      </x:c>
      <x:c r="P11" s="26" t="n">
        <x:v>14.6564</x:v>
      </x:c>
    </x:row>
    <x:row r="12" ht="20" customHeight="1">
      <x:c r="A12" s="24" t="str">
        <x:v>B2</x:v>
      </x:c>
      <x:c r="B12" s="24" t="str">
        <x:v>HC95</x:v>
      </x:c>
      <x:c r="C12" s="24" t="str">
        <x:v>1301/35/24</x:v>
      </x:c>
      <x:c r="D12" s="26" t="n">
        <x:v>0.9566</x:v>
      </x:c>
      <x:c r="E12" s="26" t="n">
        <x:v>0.9824</x:v>
      </x:c>
      <x:c r="F12" s="26" t="n">
        <x:v>12.6729</x:v>
      </x:c>
      <x:c r="G12" s="26" t="n">
        <x:v>0.0857</x:v>
      </x:c>
      <x:c r="H12" s="26" t="n">
        <x:v>12.8614</x:v>
      </x:c>
      <x:c r="I12" s="26" t="n">
        <x:v>0.0858</x:v>
      </x:c>
      <x:c r="J12" s="26" t="n">
        <x:v>11.5406</x:v>
      </x:c>
      <x:c r="K12" s="26" t="n">
        <x:v>0.0668</x:v>
      </x:c>
      <x:c r="L12" s="26" t="n">
        <x:v>11.7778</x:v>
      </x:c>
      <x:c r="M12" s="26" t="n">
        <x:v>0.0675</x:v>
      </x:c>
      <x:c r="N12" s="26" t="n">
        <x:v>0.7</x:v>
      </x:c>
      <x:c r="O12" s="26" t="n">
        <x:v>0.1742</x:v>
      </x:c>
      <x:c r="P12" s="26" t="n">
        <x:v>14.6575</x:v>
      </x:c>
    </x:row>
    <x:row r="13" ht="20" customHeight="1">
      <x:c r="A13" s="24" t="str">
        <x:v>B2</x:v>
      </x:c>
      <x:c r="B13" s="24" t="str">
        <x:v>HC90</x:v>
      </x:c>
      <x:c r="C13" s="24" t="str">
        <x:v>1217/119/24</x:v>
      </x:c>
      <x:c r="D13" s="26" t="n">
        <x:v>0.8949</x:v>
      </x:c>
      <x:c r="E13" s="26" t="n">
        <x:v>0.9824</x:v>
      </x:c>
      <x:c r="F13" s="26" t="n">
        <x:v>11.5866</x:v>
      </x:c>
      <x:c r="G13" s="26" t="n">
        <x:v>0.0747</x:v>
      </x:c>
      <x:c r="H13" s="26" t="n">
        <x:v>12.8614</x:v>
      </x:c>
      <x:c r="I13" s="26" t="n">
        <x:v>0.0858</x:v>
      </x:c>
      <x:c r="J13" s="26" t="n">
        <x:v>11.2019</x:v>
      </x:c>
      <x:c r="K13" s="26" t="n">
        <x:v>0.0642</x:v>
      </x:c>
      <x:c r="L13" s="26" t="n">
        <x:v>11.7778</x:v>
      </x:c>
      <x:c r="M13" s="26" t="n">
        <x:v>0.0675</x:v>
      </x:c>
      <x:c r="N13" s="26" t="n">
        <x:v>0.8</x:v>
      </x:c>
      <x:c r="O13" s="26" t="n">
        <x:v>0.3106</x:v>
      </x:c>
      <x:c r="P13" s="26" t="n">
        <x:v>14.6534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68" hidden="0" customWidth="1"/>
  </x:cols>
  <x:sheetData>
    <x:row r="1" ht="26" customHeight="1">
      <x:c r="A1" s="20" t="str">
        <x:v>B2 real-topology message audit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Logical payload and serialized Flower application-message bytes for the two-round ECS + Pi C1 + PC C2 pilot. Transport bytes were not measured.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 ht="32" customHeight="1">
      <x:c r="A4" s="23" t="str">
        <x:v>round</x:v>
      </x:c>
      <x:c r="B4" s="23" t="str">
        <x:v>client_id</x:v>
      </x:c>
      <x:c r="C4" s="23" t="str">
        <x:v>direction</x:v>
      </x:c>
      <x:c r="D4" s="23" t="str">
        <x:v>logical_total_bytes</x:v>
      </x:c>
      <x:c r="E4" s="23" t="str">
        <x:v>application_message_bytes</x:v>
      </x:c>
      <x:c r="F4" s="23" t="str">
        <x:v>transport_bytes</x:v>
      </x:c>
      <x:c r="G4" s="23" t="str">
        <x:v>transport_status</x:v>
      </x:c>
      <x:c r="H4" s="23" t="str">
        <x:v>application_sha256</x:v>
      </x:c>
    </x:row>
    <x:row r="5" ht="34" customHeight="1">
      <x:c r="A5" s="27" t="n">
        <x:v>1</x:v>
      </x:c>
      <x:c r="B5" s="27" t="str">
        <x:v>C1</x:v>
      </x:c>
      <x:c r="C5" s="27" t="str">
        <x:v>downlink</x:v>
      </x:c>
      <x:c r="D5" s="27" t="n">
        <x:v>154941</x:v>
      </x:c>
      <x:c r="E5" s="27" t="n">
        <x:v>155244</x:v>
      </x:c>
      <x:c r="F5" s="27"/>
      <x:c r="G5" s="27" t="str">
        <x:v>not measured in this pilot</x:v>
      </x:c>
      <x:c r="H5" s="27" t="str">
        <x:v>ab23c2944a2d6e8a7ad4b85dd9a9536e556a2df5e13482ca1608697f64c0f0d7</x:v>
      </x:c>
    </x:row>
    <x:row r="6" ht="34" customHeight="1">
      <x:c r="A6" s="27" t="n">
        <x:v>1</x:v>
      </x:c>
      <x:c r="B6" s="27" t="str">
        <x:v>C2</x:v>
      </x:c>
      <x:c r="C6" s="27" t="str">
        <x:v>downlink</x:v>
      </x:c>
      <x:c r="D6" s="27" t="n">
        <x:v>154941</x:v>
      </x:c>
      <x:c r="E6" s="27" t="n">
        <x:v>155244</x:v>
      </x:c>
      <x:c r="F6" s="27"/>
      <x:c r="G6" s="27" t="str">
        <x:v>not measured in this pilot</x:v>
      </x:c>
      <x:c r="H6" s="27" t="str">
        <x:v>ab23c2944a2d6e8a7ad4b85dd9a9536e556a2df5e13482ca1608697f64c0f0d7</x:v>
      </x:c>
    </x:row>
    <x:row r="7" ht="34" customHeight="1">
      <x:c r="A7" s="27" t="n">
        <x:v>1</x:v>
      </x:c>
      <x:c r="B7" s="27" t="str">
        <x:v>C1</x:v>
      </x:c>
      <x:c r="C7" s="27" t="str">
        <x:v>uplink</x:v>
      </x:c>
      <x:c r="D7" s="27" t="n">
        <x:v>184558</x:v>
      </x:c>
      <x:c r="E7" s="27" t="n">
        <x:v>185340</x:v>
      </x:c>
      <x:c r="F7" s="27"/>
      <x:c r="G7" s="27" t="str">
        <x:v>not measured in this pilot</x:v>
      </x:c>
      <x:c r="H7" s="27" t="str">
        <x:v>3c3af270b3d7eb89850707427a745574330161c574d367d83b3d5e846983b2fb</x:v>
      </x:c>
    </x:row>
    <x:row r="8" ht="34" customHeight="1">
      <x:c r="A8" s="27" t="n">
        <x:v>1</x:v>
      </x:c>
      <x:c r="B8" s="27" t="str">
        <x:v>C2</x:v>
      </x:c>
      <x:c r="C8" s="27" t="str">
        <x:v>uplink</x:v>
      </x:c>
      <x:c r="D8" s="27" t="n">
        <x:v>185564</x:v>
      </x:c>
      <x:c r="E8" s="27" t="n">
        <x:v>186346</x:v>
      </x:c>
      <x:c r="F8" s="27"/>
      <x:c r="G8" s="27" t="str">
        <x:v>not measured in this pilot</x:v>
      </x:c>
      <x:c r="H8" s="27" t="str">
        <x:v>55955145c623609f512304dfdf77cfc8f790f42eb73e3818fa737123951fc45f</x:v>
      </x:c>
    </x:row>
    <x:row r="9" ht="34" customHeight="1">
      <x:c r="A9" s="27" t="n">
        <x:v>2</x:v>
      </x:c>
      <x:c r="B9" s="27" t="str">
        <x:v>C1</x:v>
      </x:c>
      <x:c r="C9" s="27" t="str">
        <x:v>downlink</x:v>
      </x:c>
      <x:c r="D9" s="27" t="n">
        <x:v>170818</x:v>
      </x:c>
      <x:c r="E9" s="27" t="n">
        <x:v>171172</x:v>
      </x:c>
      <x:c r="F9" s="27"/>
      <x:c r="G9" s="27" t="str">
        <x:v>not measured in this pilot</x:v>
      </x:c>
      <x:c r="H9" s="27" t="str">
        <x:v>a3577b720fb62c516f7168c660ff1503f74c18ecb67dedac5adfc0f41ef24762</x:v>
      </x:c>
    </x:row>
    <x:row r="10" ht="34" customHeight="1">
      <x:c r="A10" s="27" t="n">
        <x:v>2</x:v>
      </x:c>
      <x:c r="B10" s="27" t="str">
        <x:v>C2</x:v>
      </x:c>
      <x:c r="C10" s="27" t="str">
        <x:v>downlink</x:v>
      </x:c>
      <x:c r="D10" s="27" t="n">
        <x:v>170818</x:v>
      </x:c>
      <x:c r="E10" s="27" t="n">
        <x:v>171172</x:v>
      </x:c>
      <x:c r="F10" s="27"/>
      <x:c r="G10" s="27" t="str">
        <x:v>not measured in this pilot</x:v>
      </x:c>
      <x:c r="H10" s="27" t="str">
        <x:v>a3577b720fb62c516f7168c660ff1503f74c18ecb67dedac5adfc0f41ef24762</x:v>
      </x:c>
    </x:row>
    <x:row r="11" ht="34" customHeight="1">
      <x:c r="A11" s="27" t="n">
        <x:v>2</x:v>
      </x:c>
      <x:c r="B11" s="27" t="str">
        <x:v>C1</x:v>
      </x:c>
      <x:c r="C11" s="27" t="str">
        <x:v>uplink</x:v>
      </x:c>
      <x:c r="D11" s="27" t="n">
        <x:v>184332</x:v>
      </x:c>
      <x:c r="E11" s="27" t="n">
        <x:v>185172</x:v>
      </x:c>
      <x:c r="F11" s="27"/>
      <x:c r="G11" s="27" t="str">
        <x:v>not measured in this pilot</x:v>
      </x:c>
      <x:c r="H11" s="27" t="str">
        <x:v>50de18005f877ec69ec2abed1aa18b477b19ea4cce76c74b35c94e2a30e4484e</x:v>
      </x:c>
    </x:row>
    <x:row r="12" ht="34" customHeight="1">
      <x:c r="A12" s="27" t="n">
        <x:v>2</x:v>
      </x:c>
      <x:c r="B12" s="27" t="str">
        <x:v>C2</x:v>
      </x:c>
      <x:c r="C12" s="27" t="str">
        <x:v>uplink</x:v>
      </x:c>
      <x:c r="D12" s="27" t="n">
        <x:v>185338</x:v>
      </x:c>
      <x:c r="E12" s="27" t="n">
        <x:v>186178</x:v>
      </x:c>
      <x:c r="F12" s="27"/>
      <x:c r="G12" s="27" t="str">
        <x:v>not measured in this pilot</x:v>
      </x:c>
      <x:c r="H12" s="27" t="str">
        <x:v>97eaf237e9f01dcb93930ac1bc2a8c275c31af009a81f665e4fe10a7c2709578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6" customHeight="1">
      <x:c r="A1" s="20" t="str">
        <x:v>B2 real-topology timing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</x:row>
    <x:row r="2" ht="34" customHeight="1">
      <x:c r="A2" s="21" t="str">
        <x:v>Two-round pilot only. Server DA dominates round wall time; do not extrapolate to a formal 25-round total.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</x:row>
    <x:row r="4" ht="32" customHeight="1">
      <x:c r="A4" s="23" t="str">
        <x:v>round</x:v>
      </x:c>
      <x:c r="B4" s="23" t="str">
        <x:v>app_downlink_bytes</x:v>
      </x:c>
      <x:c r="C4" s="23" t="str">
        <x:v>app_uplink_bytes</x:v>
      </x:c>
      <x:c r="D4" s="23" t="str">
        <x:v>app_total_bytes</x:v>
      </x:c>
      <x:c r="E4" s="23" t="str">
        <x:v>logical_downlink_bytes</x:v>
      </x:c>
      <x:c r="F4" s="23" t="str">
        <x:v>logical_uplink_bytes</x:v>
      </x:c>
      <x:c r="G4" s="23" t="str">
        <x:v>logical_total_bytes</x:v>
      </x:c>
      <x:c r="H4" s="23" t="str">
        <x:v>fit_round_wall_s</x:v>
      </x:c>
      <x:c r="I4" s="23" t="str">
        <x:v>server_aggregate_s</x:v>
      </x:c>
      <x:c r="J4" s="23" t="str">
        <x:v>server_non_da_s</x:v>
      </x:c>
      <x:c r="K4" s="23" t="str">
        <x:v>server_da_s</x:v>
      </x:c>
      <x:c r="L4" s="23" t="str">
        <x:v>server_da_share</x:v>
      </x:c>
      <x:c r="M4" s="23" t="str">
        <x:v>pi_train_s</x:v>
      </x:c>
      <x:c r="N4" s="23" t="str">
        <x:v>pc_train_s</x:v>
      </x:c>
      <x:c r="O4" s="23" t="str">
        <x:v>pi_fit_s</x:v>
      </x:c>
      <x:c r="P4" s="23" t="str">
        <x:v>pc_fit_s</x:v>
      </x:c>
      <x:c r="Q4" s="23" t="str">
        <x:v>evidence_role</x:v>
      </x:c>
    </x:row>
    <x:row r="5" ht="20" customHeight="1">
      <x:c r="A5" s="24" t="n">
        <x:v>1</x:v>
      </x:c>
      <x:c r="B5" s="24" t="n">
        <x:v>310488</x:v>
      </x:c>
      <x:c r="C5" s="24" t="n">
        <x:v>371686</x:v>
      </x:c>
      <x:c r="D5" s="24" t="n">
        <x:v>682174</x:v>
      </x:c>
      <x:c r="E5" s="24" t="n">
        <x:v>309882</x:v>
      </x:c>
      <x:c r="F5" s="24" t="n">
        <x:v>370122</x:v>
      </x:c>
      <x:c r="G5" s="24" t="n">
        <x:v>680004</x:v>
      </x:c>
      <x:c r="H5" s="28" t="n">
        <x:v>192.496322475</x:v>
      </x:c>
      <x:c r="I5" s="28" t="n">
        <x:v>169.989051844</x:v>
      </x:c>
      <x:c r="J5" s="28" t="n">
        <x:v>0.069834768</x:v>
      </x:c>
      <x:c r="K5" s="28" t="n">
        <x:v>169.919217076</x:v>
      </x:c>
      <x:c r="L5" s="25" t="n">
        <x:v>0.882714094956634</x:v>
      </x:c>
      <x:c r="M5" s="28" t="n">
        <x:v>10.560419618</x:v>
      </x:c>
      <x:c r="N5" s="28" t="n">
        <x:v>14.6690659</x:v>
      </x:c>
      <x:c r="O5" s="28" t="n">
        <x:v>10.566726227</x:v>
      </x:c>
      <x:c r="P5" s="28" t="n">
        <x:v>14.6752534</x:v>
      </x:c>
      <x:c r="Q5" s="24" t="str">
        <x:v>real three-host 2-round pilot; not 25-round confirmation</x:v>
      </x:c>
    </x:row>
    <x:row r="6" ht="20" customHeight="1">
      <x:c r="A6" s="24" t="n">
        <x:v>2</x:v>
      </x:c>
      <x:c r="B6" s="24" t="n">
        <x:v>342344</x:v>
      </x:c>
      <x:c r="C6" s="24" t="n">
        <x:v>371350</x:v>
      </x:c>
      <x:c r="D6" s="24" t="n">
        <x:v>713694</x:v>
      </x:c>
      <x:c r="E6" s="24" t="n">
        <x:v>341636</x:v>
      </x:c>
      <x:c r="F6" s="24" t="n">
        <x:v>369670</x:v>
      </x:c>
      <x:c r="G6" s="24" t="n">
        <x:v>711306</x:v>
      </x:c>
      <x:c r="H6" s="28" t="n">
        <x:v>193.646502588</x:v>
      </x:c>
      <x:c r="I6" s="28" t="n">
        <x:v>167.204555842</x:v>
      </x:c>
      <x:c r="J6" s="28" t="n">
        <x:v>0.061265033</x:v>
      </x:c>
      <x:c r="K6" s="28" t="n">
        <x:v>167.143290809</x:v>
      </x:c>
      <x:c r="L6" s="25" t="n">
        <x:v>0.8631361195539486</x:v>
      </x:c>
      <x:c r="M6" s="28" t="n">
        <x:v>11.651720975</x:v>
      </x:c>
      <x:c r="N6" s="28" t="n">
        <x:v>26.2010465</x:v>
      </x:c>
      <x:c r="O6" s="28" t="n">
        <x:v>11.664591697</x:v>
      </x:c>
      <x:c r="P6" s="28" t="n">
        <x:v>26.2138328</x:v>
      </x:c>
      <x:c r="Q6" s="24" t="str">
        <x:v>real three-host 2-round pilot; not 25-round confirmation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20" t="str">
        <x:v>B2 training-side resources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1" t="str">
        <x:v>Training-overlap rows are preferred for CPU/RSS interpretation; full-attempt rows include idle and DA waiting periods.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 ht="32" customHeight="1">
      <x:c r="A4" s="23" t="str">
        <x:v>client_id</x:v>
      </x:c>
      <x:c r="B4" s="23" t="str">
        <x:v>scope</x:v>
      </x:c>
      <x:c r="C4" s="23" t="str">
        <x:v>sample_count</x:v>
      </x:c>
      <x:c r="D4" s="23" t="str">
        <x:v>rss_mean_mib</x:v>
      </x:c>
      <x:c r="E4" s="23" t="str">
        <x:v>rss_peak_mib</x:v>
      </x:c>
      <x:c r="F4" s="23" t="str">
        <x:v>cpu_host_mean_pct</x:v>
      </x:c>
      <x:c r="G4" s="23" t="str">
        <x:v>cpu_host_peak_pct</x:v>
      </x:c>
      <x:c r="H4" s="23" t="str">
        <x:v>cpu_one_core_mean_pct</x:v>
      </x:c>
      <x:c r="I4" s="23" t="str">
        <x:v>cpu_one_core_peak_pct</x:v>
      </x:c>
      <x:c r="J4" s="23" t="str">
        <x:v>temperature_mean_c</x:v>
      </x:c>
      <x:c r="K4" s="23" t="str">
        <x:v>temperature_peak_c</x:v>
      </x:c>
    </x:row>
    <x:row r="5" ht="20" customHeight="1">
      <x:c r="A5" s="24" t="str">
        <x:v>C1 / Raspberry Pi</x:v>
      </x:c>
      <x:c r="B5" s="24" t="str">
        <x:v>training_overlap</x:v>
      </x:c>
      <x:c r="C5" s="24" t="n">
        <x:v>22</x:v>
      </x:c>
      <x:c r="D5" s="28" t="n">
        <x:v>499.9723011363636</x:v>
      </x:c>
      <x:c r="E5" s="28" t="n">
        <x:v>511.90625</x:v>
      </x:c>
      <x:c r="F5" s="28" t="n">
        <x:v>80.49560638119546</x:v>
      </x:c>
      <x:c r="G5" s="28" t="n">
        <x:v>90.62917591619396</x:v>
      </x:c>
      <x:c r="H5" s="28" t="n">
        <x:v>321.98242552478183</x:v>
      </x:c>
      <x:c r="I5" s="28" t="n">
        <x:v>362.51670366477583</x:v>
      </x:c>
      <x:c r="J5" s="28" t="n">
        <x:v>55</x:v>
      </x:c>
      <x:c r="K5" s="28" t="n">
        <x:v>58.4</x:v>
      </x:c>
    </x:row>
    <x:row r="6" ht="20" customHeight="1">
      <x:c r="A6" s="24" t="str">
        <x:v>C1 / Raspberry Pi</x:v>
      </x:c>
      <x:c r="B6" s="24" t="str">
        <x:v>full_attempt</x:v>
      </x:c>
      <x:c r="C6" s="24" t="n">
        <x:v>388</x:v>
      </x:c>
      <x:c r="D6" s="28" t="n">
        <x:v>503.34741462628864</x:v>
      </x:c>
      <x:c r="E6" s="28" t="n">
        <x:v>511.90625</x:v>
      </x:c>
      <x:c r="F6" s="28" t="n">
        <x:v>5.245634872819504</x:v>
      </x:c>
      <x:c r="G6" s="28" t="n">
        <x:v>90.62917591619396</x:v>
      </x:c>
      <x:c r="H6" s="28" t="n">
        <x:v>20.982539491278015</x:v>
      </x:c>
      <x:c r="I6" s="28" t="n">
        <x:v>362.51670366477583</x:v>
      </x:c>
      <x:c r="J6" s="28" t="n">
        <x:v>47.636726804123725</x:v>
      </x:c>
      <x:c r="K6" s="28" t="n">
        <x:v>58.4</x:v>
      </x:c>
    </x:row>
    <x:row r="7" ht="20" customHeight="1">
      <x:c r="A7" s="24" t="str">
        <x:v>C2 / PC</x:v>
      </x:c>
      <x:c r="B7" s="24" t="str">
        <x:v>training_overlap</x:v>
      </x:c>
      <x:c r="C7" s="24" t="n">
        <x:v>39</x:v>
      </x:c>
      <x:c r="D7" s="28" t="n">
        <x:v>415.36939102564105</x:v>
      </x:c>
      <x:c r="E7" s="28" t="n">
        <x:v>426.20703125</x:v>
      </x:c>
      <x:c r="F7" s="28" t="n">
        <x:v>37.7622401172579</x:v>
      </x:c>
      <x:c r="G7" s="28" t="n">
        <x:v>72.60451565237192</x:v>
      </x:c>
      <x:c r="H7" s="28" t="n">
        <x:v>226.5734407035474</x:v>
      </x:c>
      <x:c r="I7" s="28" t="n">
        <x:v>435.62709391423147</x:v>
      </x:c>
      <x:c r="J7" s="28"/>
      <x:c r="K7" s="28"/>
    </x:row>
    <x:row r="8" ht="20" customHeight="1">
      <x:c r="A8" s="24" t="str">
        <x:v>C2 / PC</x:v>
      </x:c>
      <x:c r="B8" s="24" t="str">
        <x:v>full_attempt</x:v>
      </x:c>
      <x:c r="C8" s="24" t="n">
        <x:v>379</x:v>
      </x:c>
      <x:c r="D8" s="28" t="n">
        <x:v>408.7196466853562</x:v>
      </x:c>
      <x:c r="E8" s="28" t="n">
        <x:v>426.20703125</x:v>
      </x:c>
      <x:c r="F8" s="28" t="n">
        <x:v>4.4471649700504</x:v>
      </x:c>
      <x:c r="G8" s="28" t="n">
        <x:v>72.60451565237192</x:v>
      </x:c>
      <x:c r="H8" s="28" t="n">
        <x:v>26.68298982030239</x:v>
      </x:c>
      <x:c r="I8" s="28" t="n">
        <x:v>435.62709391423147</x:v>
      </x:c>
      <x:c r="J8" s="28"/>
      <x:c r="K8" s="28"/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6" customHeight="1">
      <x:c r="A1" s="20" t="str">
        <x:v>Observer overhead audit</x:v>
      </x:c>
      <x:c r="B1" s="20"/>
      <x:c r="C1" s="20"/>
      <x:c r="D1" s="20"/>
      <x:c r="E1" s="20"/>
    </x:row>
    <x:row r="2" ht="34" customHeight="1">
      <x:c r="A2" s="21" t="str">
        <x:v>Measured observer encoding/serialization/I/O overhead, separate from algorithm timing.</x:v>
      </x:c>
      <x:c r="B2" s="21"/>
      <x:c r="C2" s="21"/>
      <x:c r="D2" s="21"/>
      <x:c r="E2" s="21"/>
    </x:row>
    <x:row r="3">
      <x:c r="A3" s="22"/>
      <x:c r="B3" s="22"/>
      <x:c r="C3" s="22"/>
      <x:c r="D3" s="22"/>
      <x:c r="E3" s="22"/>
    </x:row>
    <x:row r="4" ht="32" customHeight="1">
      <x:c r="A4" s="23" t="str">
        <x:v>producer</x:v>
      </x:c>
      <x:c r="B4" s="23" t="str">
        <x:v>substantive_events</x:v>
      </x:c>
      <x:c r="C4" s="23" t="str">
        <x:v>overhead_events</x:v>
      </x:c>
      <x:c r="D4" s="23" t="str">
        <x:v>event_bytes_written</x:v>
      </x:c>
      <x:c r="E4" s="23" t="str">
        <x:v>observer_total_ms</x:v>
      </x:c>
    </x:row>
    <x:row r="5" ht="20" customHeight="1">
      <x:c r="A5" s="24" t="str">
        <x:v>C1</x:v>
      </x:c>
      <x:c r="B5" s="24" t="n">
        <x:v>8</x:v>
      </x:c>
      <x:c r="C5" s="24" t="n">
        <x:v>8</x:v>
      </x:c>
      <x:c r="D5" s="24" t="n">
        <x:v>16400</x:v>
      </x:c>
      <x:c r="E5" s="28" t="n">
        <x:v>0.969806</x:v>
      </x:c>
    </x:row>
    <x:row r="6" ht="20" customHeight="1">
      <x:c r="A6" s="24" t="str">
        <x:v>C2</x:v>
      </x:c>
      <x:c r="B6" s="24" t="n">
        <x:v>8</x:v>
      </x:c>
      <x:c r="C6" s="24" t="n">
        <x:v>8</x:v>
      </x:c>
      <x:c r="D6" s="24" t="n">
        <x:v>16421</x:v>
      </x:c>
      <x:c r="E6" s="28" t="n">
        <x:v>1.2021</x:v>
      </x:c>
    </x:row>
    <x:row r="7" ht="20" customHeight="1">
      <x:c r="A7" s="24" t="str">
        <x:v>server</x:v>
      </x:c>
      <x:c r="B7" s="24" t="n">
        <x:v>20</x:v>
      </x:c>
      <x:c r="C7" s="24" t="n">
        <x:v>20</x:v>
      </x:c>
      <x:c r="D7" s="24" t="n">
        <x:v>45393</x:v>
      </x:c>
      <x:c r="E7" s="28" t="n">
        <x:v>22.678224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26" customHeight="1">
      <x:c r="A1" s="20" t="str">
        <x:v>Claim boundary</x:v>
      </x:c>
      <x:c r="B1" s="20"/>
      <x:c r="C1" s="20"/>
    </x:row>
    <x:row r="2" ht="34" customHeight="1">
      <x:c r="A2" s="21" t="str">
        <x:v>Green-lighted paper uses and explicit deferred/forbidden interpretations.</x:v>
      </x:c>
      <x:c r="B2" s="21"/>
      <x:c r="C2" s="21"/>
    </x:row>
    <x:row r="3">
      <x:c r="A3" s="22"/>
      <x:c r="B3" s="22"/>
      <x:c r="C3" s="22"/>
    </x:row>
    <x:row r="4" ht="32" customHeight="1">
      <x:c r="A4" s="23" t="str">
        <x:v>evidence_block</x:v>
      </x:c>
      <x:c r="B4" s="23" t="str">
        <x:v>usable_claim</x:v>
      </x:c>
      <x:c r="C4" s="23" t="str">
        <x:v>forbidden_or_deferred_claim</x:v>
      </x:c>
    </x:row>
    <x:row r="5" ht="58" customHeight="1">
      <x:c r="A5" s="27" t="str">
        <x:v>Main C1/C2 -&gt; C5 classification</x:v>
      </x:c>
      <x:c r="B5" s="27" t="str">
        <x:v>Seed-42 25-round descriptive screening performance for B1-B5.</x:v>
      </x:c>
      <x:c r="C5" s="27" t="str">
        <x:v>Do not include feaa75b seed-42 in future confirmation mean/std; no variance claim.</x:v>
      </x:c>
    </x:row>
    <x:row r="6" ht="58" customHeight="1">
      <x:c r="A6" s="27" t="str">
        <x:v>Three cross directions</x:v>
      </x:c>
      <x:c r="B6" s="27" t="str">
        <x:v>Seed-42 appendix/generalization evidence for F1, R1 and R2.</x:v>
      </x:c>
      <x:c r="C6" s="27" t="str">
        <x:v>Do not claim direction-stable multi-seed significance.</x:v>
      </x:c>
    </x:row>
    <x:row r="7" ht="58" customHeight="1">
      <x:c r="A7" s="27" t="str">
        <x:v>Formal C5 regression</x:v>
      </x:c>
      <x:c r="B7" s="27" t="str">
        <x:v>Coverage-1 R0-R7 actual-route results on all 1360 C5 test windows.</x:v>
      </x:c>
      <x:c r="C7" s="27" t="str">
        <x:v>R7 is an offline per-row oracle, not deployable.</x:v>
      </x:c>
    </x:row>
    <x:row r="8" ht="58" customHeight="1">
      <x:c r="A8" s="27" t="str">
        <x:v>Operational QC</x:v>
      </x:c>
      <x:c r="B8" s="27" t="str">
        <x:v>FULL/HC95/HC90 actual-route yield, nonreject coverage and errors.</x:v>
      </x:c>
      <x:c r="C8" s="27" t="str">
        <x:v>Oracle QC columns use test truth for forced routing and are diagnostic only.</x:v>
      </x:c>
    </x:row>
    <x:row r="9" ht="58" customHeight="1">
      <x:c r="A9" s="27" t="str">
        <x:v>B2 real-topology system pilot</x:v>
      </x:c>
      <x:c r="B9" s="27" t="str">
        <x:v>Measured logical/application bytes, timing and training-side resource use for a real ECS+Pi+PC 2-round run.</x:v>
      </x:c>
      <x:c r="C9" s="27" t="str">
        <x:v>No 25-round total, transport-layer byte count, tail latency, or long-run stability claim.</x:v>
      </x:c>
    </x:row>
    <x:row r="10" ht="58" customHeight="1">
      <x:c r="A10" s="27" t="str">
        <x:v>B2 Observer Gate</x:v>
      </x:c>
      <x:c r="B10" s="27" t="str">
        <x:v>OFF/ON exact numerical equivalence for the B2 two-round formal topology smoke (max_abs_delta=0).</x:v>
      </x:c>
      <x:c r="C10" s="27" t="str">
        <x:v>Does not validate B5 or the full 10-run confirmation queue.</x:v>
      </x:c>
    </x:row>
    <x:row r="11" ht="58" customHeight="1">
      <x:c r="A11" s="27" t="str">
        <x:v>B5 Observer Gate</x:v>
      </x:c>
      <x:c r="B11" s="27" t="str">
        <x:v>A preserved round-2 parity failure exists and blocks formal confirmation.</x:v>
      </x:c>
      <x:c r="C11" s="27" t="str">
        <x:v>Do not generate a freeze record or label any new B5 run as formal confirmation.</x:v>
      </x:c>
    </x:row>
    <x:row r="12" ht="58" customHeight="1">
      <x:c r="A12" s="27" t="str">
        <x:v>Formal multi-seed confirmation</x:v>
      </x:c>
      <x:c r="B12" s="27" t="str">
        <x:v>Not available yet.</x:v>
      </x:c>
      <x:c r="C12" s="27" t="str">
        <x:v>10x25 queue remains unstarted; do not report confirmation mean/std.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6" hidden="0" customWidth="1"/>
    <x:col min="3" max="3" width="68" hidden="0" customWidth="1"/>
  </x:cols>
  <x:sheetData>
    <x:row r="1" ht="26" customHeight="1">
      <x:c r="A1" s="20" t="str">
        <x:v>Evidence source hashes</x:v>
      </x:c>
      <x:c r="B1" s="20"/>
      <x:c r="C1" s="20"/>
    </x:row>
    <x:row r="2" ht="34" customHeight="1">
      <x:c r="A2" s="21" t="str">
        <x:v>Selected source files are hashed here so the preliminary metrics package can be audited and rebuilt.</x:v>
      </x:c>
      <x:c r="B2" s="21"/>
      <x:c r="C2" s="21"/>
    </x:row>
    <x:row r="3">
      <x:c r="A3" s="22"/>
      <x:c r="B3" s="22"/>
      <x:c r="C3" s="22"/>
    </x:row>
    <x:row r="4" ht="32" customHeight="1">
      <x:c r="A4" s="23" t="str">
        <x:v>relative_path</x:v>
      </x:c>
      <x:c r="B4" s="23" t="str">
        <x:v>bytes</x:v>
      </x:c>
      <x:c r="C4" s="23" t="str">
        <x:v>sha256</x:v>
      </x:c>
    </x:row>
    <x:row r="5" ht="34" customHeight="1">
      <x:c r="A5" s="27" t="str">
        <x:v>workspace/results/iotj_classification_ablation_20260712_v3_summary/B1_proto_replay_corrected_server_da_c12_to_c5_s42_r25/classification_metrics.json</x:v>
      </x:c>
      <x:c r="B5" s="27" t="n">
        <x:v>2136</x:v>
      </x:c>
      <x:c r="C5" s="27" t="str">
        <x:v>c4b3b43644a237551430fea3de87ebfdd2354fed1316ca762267bd2a95454295</x:v>
      </x:c>
    </x:row>
    <x:row r="6" ht="34" customHeight="1">
      <x:c r="A6" s="27" t="str">
        <x:v>workspace/results/iotj_classification_ablation_20260712_v3_summary/B2_proto_replay_corrected_server_da_c12_to_c5_s42_r25/classification_metrics.json</x:v>
      </x:c>
      <x:c r="B6" s="27" t="n">
        <x:v>2147</x:v>
      </x:c>
      <x:c r="C6" s="27" t="str">
        <x:v>655eb69a306fc220b2ff0be57c3b873063f264e146329f5262e7b04912cc77a7</x:v>
      </x:c>
    </x:row>
    <x:row r="7" ht="34" customHeight="1">
      <x:c r="A7" s="27" t="str">
        <x:v>workspace/results/iotj_classification_ablation_20260712_v3_summary/B3_proto_replay_corrected_server_da_c12_to_c5_s42_r25/classification_metrics.json</x:v>
      </x:c>
      <x:c r="B7" s="27" t="n">
        <x:v>2159</x:v>
      </x:c>
      <x:c r="C7" s="27" t="str">
        <x:v>1826e47df966f863802d0fff388a777b0872807cfd183493eb41013633b7fbbb</x:v>
      </x:c>
    </x:row>
    <x:row r="8" ht="34" customHeight="1">
      <x:c r="A8" s="27" t="str">
        <x:v>workspace/results/iotj_classification_ablation_20260712_v3_summary/B4_proto_replay_corrected_server_da_c12_to_c5_s42_r25/classification_metrics.json</x:v>
      </x:c>
      <x:c r="B8" s="27" t="n">
        <x:v>2141</x:v>
      </x:c>
      <x:c r="C8" s="27" t="str">
        <x:v>3f414bae72ae359b64d3969abdca9a401c6b36d6e03c9feccf11841964fa364e</x:v>
      </x:c>
    </x:row>
    <x:row r="9" ht="34" customHeight="1">
      <x:c r="A9" s="27" t="str">
        <x:v>workspace/results/iotj_classification_ablation_20260712_v3_summary/B5_proto_replay_corrected_full_da_c12_to_c5_s42_r25/classification_metrics.json</x:v>
      </x:c>
      <x:c r="B9" s="27" t="n">
        <x:v>2155</x:v>
      </x:c>
      <x:c r="C9" s="27" t="str">
        <x:v>bb20a25a3153f7b5b5aecbf10eeda6097a5185a821f99f6141585099f9f6be05</x:v>
      </x:c>
    </x:row>
    <x:row r="10" ht="34" customHeight="1">
      <x:c r="A10" s="27" t="str">
        <x:v>workspace/results/iotj_b2_b5_cross_direction_20260715_f1_summary/B2_proto_replay_corrected_server_da_f1_c1_to_c5_s42_r25/classification_metrics.json</x:v>
      </x:c>
      <x:c r="B10" s="27" t="n">
        <x:v>2145</x:v>
      </x:c>
      <x:c r="C10" s="27" t="str">
        <x:v>af7b9f54289d69c6f9e9e1243d7b61a9ed9591b1d10bff2362fce61239fdb16e</x:v>
      </x:c>
    </x:row>
    <x:row r="11" ht="34" customHeight="1">
      <x:c r="A11" s="27" t="str">
        <x:v>workspace/results/iotj_b2_b5_cross_direction_20260715_f1_summary/B5_proto_replay_corrected_full_da_f1_c1_to_c5_s42_r25/classification_metrics.json</x:v>
      </x:c>
      <x:c r="B11" s="27" t="n">
        <x:v>2154</x:v>
      </x:c>
      <x:c r="C11" s="27" t="str">
        <x:v>973762f62149300511cfb20813c890d45acceb800471a732036e34230c7b1c6d</x:v>
      </x:c>
    </x:row>
    <x:row r="12" ht="34" customHeight="1">
      <x:c r="A12" s="27" t="str">
        <x:v>workspace/results/iotj_b2_b5_cross_direction_20260714_r1_summary/B2_proto_replay_corrected_server_da_r1_c5_to_c1_s42_r25/classification_metrics.json</x:v>
      </x:c>
      <x:c r="B12" s="27" t="n">
        <x:v>2284</x:v>
      </x:c>
      <x:c r="C12" s="27" t="str">
        <x:v>ef7805e9a3a6f2bc884d3591feb1d4b26c250ff727c1e4a1d3ab2a4efb320740</x:v>
      </x:c>
    </x:row>
    <x:row r="13" ht="34" customHeight="1">
      <x:c r="A13" s="27" t="str">
        <x:v>workspace/results/iotj_b2_b5_cross_direction_20260714_r1_summary/B5_proto_replay_corrected_full_da_r1_c5_to_c1_s42_r25/classification_metrics.json</x:v>
      </x:c>
      <x:c r="B13" s="27" t="n">
        <x:v>2233</x:v>
      </x:c>
      <x:c r="C13" s="27" t="str">
        <x:v>f42b0b6e2c79194494d666ed0bfb641b9cb03fe5cda6255b2986d766b950df78</x:v>
      </x:c>
    </x:row>
    <x:row r="14" ht="34" customHeight="1">
      <x:c r="A14" s="27" t="str">
        <x:v>workspace/results/iotj_b2_b5_cross_direction_20260715_r2_summary/B2_proto_replay_corrected_server_da_r2_c45_to_c1_s42_r25/classification_metrics.json</x:v>
      </x:c>
      <x:c r="B14" s="27" t="n">
        <x:v>2268</x:v>
      </x:c>
      <x:c r="C14" s="27" t="str">
        <x:v>e63caaeb52fa418051dd04ec57e833aa54cd0989ec776eb31ce7a791a0774284</x:v>
      </x:c>
    </x:row>
    <x:row r="15" ht="34" customHeight="1">
      <x:c r="A15" s="27" t="str">
        <x:v>workspace/results/iotj_b2_b5_cross_direction_20260715_r2_summary/B5_proto_replay_corrected_full_da_r2_c45_to_c1_s42_r25/classification_metrics.json</x:v>
      </x:c>
      <x:c r="B15" s="27" t="n">
        <x:v>2276</x:v>
      </x:c>
      <x:c r="C15" s="27" t="str">
        <x:v>b1ef79c9a635f955df237528b9702221c1b041579b0881bf2f33b19f77dc6ced</x:v>
      </x:c>
    </x:row>
    <x:row r="16" ht="34" customHeight="1">
      <x:c r="A16" s="27" t="str">
        <x:v>workspace/results/iotj_b2_b5_cross_direction_20260715_f1_summary/paired_direction_comparison.json</x:v>
      </x:c>
      <x:c r="B16" s="27" t="n">
        <x:v>1816</x:v>
      </x:c>
      <x:c r="C16" s="27" t="str">
        <x:v>bb01c87bec9f5583ccff9c75f22ef0ede1f50b1f83b65450ecbe4d55a5218388</x:v>
      </x:c>
    </x:row>
    <x:row r="17" ht="34" customHeight="1">
      <x:c r="A17" s="27" t="str">
        <x:v>workspace/results/iotj_b2_b5_cross_direction_20260714_r1_summary/paired_direction_comparison.json</x:v>
      </x:c>
      <x:c r="B17" s="27" t="n">
        <x:v>1840</x:v>
      </x:c>
      <x:c r="C17" s="27" t="str">
        <x:v>39d3b52d0a9918050a46acb0da923f8b57ebcdae38730e912ed9f6d15f1d36dc</x:v>
      </x:c>
    </x:row>
    <x:row r="18" ht="34" customHeight="1">
      <x:c r="A18" s="27" t="str">
        <x:v>workspace/results/iotj_b2_b5_cross_direction_20260715_r2_summary/paired_direction_comparison.json</x:v>
      </x:c>
      <x:c r="B18" s="27" t="n">
        <x:v>1839</x:v>
      </x:c>
      <x:c r="C18" s="27" t="str">
        <x:v>6ec60ad72798046c794b94c254db45d70a76b308ce6cc4007df395bb0a5ba3cc</x:v>
      </x:c>
    </x:row>
    <x:row r="19" ht="34" customHeight="1">
      <x:c r="A19" s="27" t="str">
        <x:v>workspace/results/iotj_c5_formal_regression_20260713_v2_summary/formal_regression_report.md</x:v>
      </x:c>
      <x:c r="B19" s="27" t="n">
        <x:v>5434</x:v>
      </x:c>
      <x:c r="C19" s="27" t="str">
        <x:v>138316c1f3a9609083bfe5149efb39ffe357e9aa15cf6f2e7c4d9d4b2c236534</x:v>
      </x:c>
    </x:row>
    <x:row r="20" ht="34" customHeight="1">
      <x:c r="A20" s="27" t="str">
        <x:v>workspace/results/iotj_c5_formal_regression_20260713_v2_summary/manifest.json</x:v>
      </x:c>
      <x:c r="B20" s="27" t="n">
        <x:v>11014</x:v>
      </x:c>
      <x:c r="C20" s="27" t="str">
        <x:v>fc9d8568bd5c2986bd9ead9ce20355d769c9b8b2264cc569a59ec513b7fc3167</x:v>
      </x:c>
    </x:row>
    <x:row r="21" ht="34" customHeight="1">
      <x:c r="A21" s="27" t="str">
        <x:v>confirmation_worktree/results/iotj_main_confirmation_observability_20260715/smoke/b2/formal_observer_equivalence_report.json</x:v>
      </x:c>
      <x:c r="B21" s="27" t="n">
        <x:v>64664</x:v>
      </x:c>
      <x:c r="C21" s="27" t="str">
        <x:v>c84a69327a8e88da89a5c12bb61a595363bdbeb29112f21bfae0d899b9c980cd</x:v>
      </x:c>
    </x:row>
    <x:row r="22" ht="34" customHeight="1">
      <x:c r="A22" s="27" t="str">
        <x:v>confirmation_worktree/results/iotj_main_confirmation_observability_20260715/smoke/b2/on/raw/ecs/events.jsonl</x:v>
      </x:c>
      <x:c r="B22" s="27" t="n">
        <x:v>45393</x:v>
      </x:c>
      <x:c r="C22" s="27" t="str">
        <x:v>fcfa45cec524cb5a97698b249316029e19897e3bee37b3098f920fc60772da52</x:v>
      </x:c>
    </x:row>
    <x:row r="23" ht="34" customHeight="1">
      <x:c r="A23" s="27" t="str">
        <x:v>confirmation_worktree/results/iotj_main_confirmation_observability_20260715/smoke/b2/on/raw/pi/events.jsonl</x:v>
      </x:c>
      <x:c r="B23" s="27" t="n">
        <x:v>16400</x:v>
      </x:c>
      <x:c r="C23" s="27" t="str">
        <x:v>bcffa65962b67a961b0e575e3a7e934d1bf15310ad51ce2872164b6e7e1c86d4</x:v>
      </x:c>
    </x:row>
    <x:row r="24" ht="34" customHeight="1">
      <x:c r="A24" s="27" t="str">
        <x:v>confirmation_worktree/results/iotj_main_confirmation_observability_20260715/smoke/b2/on/raw/pc/events.jsonl</x:v>
      </x:c>
      <x:c r="B24" s="27" t="n">
        <x:v>16421</x:v>
      </x:c>
      <x:c r="C24" s="27" t="str">
        <x:v>9bf1b678c5401fdcbda95b5b65cfcc2a3ff7bdf762daece0a35a0306c67149e2</x:v>
      </x:c>
    </x:row>
    <x:row r="25" ht="34" customHeight="1">
      <x:c r="A25" s="27" t="str">
        <x:v>confirmation_worktree/results/iotj_main_confirmation_observability_20260715/smoke/b2/on/raw/pi/resource.jsonl</x:v>
      </x:c>
      <x:c r="B25" s="27" t="n">
        <x:v>1121215</x:v>
      </x:c>
      <x:c r="C25" s="27" t="str">
        <x:v>7aa9d6bc8bc209c7cd13d50813f8caaaaaf258f0d20ae3e03b1123a2a84a745a</x:v>
      </x:c>
    </x:row>
    <x:row r="26" ht="34" customHeight="1">
      <x:c r="A26" s="27" t="str">
        <x:v>confirmation_worktree/results/iotj_main_confirmation_observability_20260715/smoke/b2/on/raw/pc/resource.jsonl</x:v>
      </x:c>
      <x:c r="B26" s="27" t="n">
        <x:v>1100972</x:v>
      </x:c>
      <x:c r="C26" s="27" t="str">
        <x:v>983d46d65e09a0c01ba9e3e19b9fbc149ccb7a613b11fe66f6d246f590c4ddf0</x:v>
      </x:c>
    </x:row>
  </x:sheetData>
  <x:mergeCells>
    <x:mergeCell ref="A1:C1"/>
    <x:mergeCell ref="A2:C2"/>
  </x:mergeCells>
  <x:pageMargins left="0.7" right="0.7" top="0.75" bottom="0.75" header="0.3" footer="0.3"/>
</x:worksheet>
</file>